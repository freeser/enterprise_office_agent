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白泽团队财务明细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<sst xmlns="http://schemas.openxmlformats.org/spreadsheetml/2006/main" count="7040" uniqueCount="7040">
  <si>
    <t xml:space="preserve">  </t>
  </si>
  <si>
    <t>统计年份</t>
  </si>
  <si>
    <t>统计月份</t>
  </si>
  <si>
    <t>统计日期</t>
  </si>
  <si>
    <t>所属业务线</t>
  </si>
  <si>
    <t>所属部门</t>
  </si>
  <si>
    <t>项目名称</t>
  </si>
  <si>
    <t>收支类型</t>
  </si>
  <si>
    <t>一级科目</t>
  </si>
  <si>
    <t>二级科目</t>
  </si>
  <si>
    <t>三级科目</t>
  </si>
  <si>
    <t>预算金额</t>
  </si>
  <si>
    <t>实际发生金额</t>
  </si>
  <si>
    <t>差额</t>
  </si>
  <si>
    <t>差额占比</t>
  </si>
  <si>
    <t>回款状态</t>
  </si>
  <si>
    <t>发票状态</t>
  </si>
  <si>
    <t>经办人</t>
  </si>
  <si>
    <t>审批人</t>
  </si>
  <si>
    <t>备注</t>
  </si>
  <si>
    <t>2023-01-12</t>
  </si>
  <si>
    <t>定制化服务业务</t>
  </si>
  <si>
    <t>人事部</t>
  </si>
  <si>
    <t>定制化服务-2023年1月项目5</t>
  </si>
  <si>
    <t>支出</t>
  </si>
  <si>
    <t>营业外支出</t>
  </si>
  <si>
    <t>捐赠支出</t>
  </si>
  <si>
    <t>武汉区域</t>
  </si>
  <si>
    <t>已支付</t>
  </si>
  <si>
    <t>发票作废</t>
  </si>
  <si>
    <t>赵六</t>
  </si>
  <si>
    <t>李总</t>
  </si>
  <si>
    <t>捐赠支出相关支出，武汉区域区域</t>
  </si>
  <si>
    <t>2023-01-18</t>
  </si>
  <si>
    <t>ToB SaaS业务</t>
  </si>
  <si>
    <t>研发部</t>
  </si>
  <si>
    <t>ToB SaaS-2023年1月项目8</t>
  </si>
  <si>
    <t>收入</t>
  </si>
  <si>
    <t>主营业务收入</t>
  </si>
  <si>
    <t>硬件销售收入</t>
  </si>
  <si>
    <t>杭州区域</t>
  </si>
  <si>
    <t>坏账</t>
  </si>
  <si>
    <t>部分开票</t>
  </si>
  <si>
    <t>李四</t>
  </si>
  <si>
    <t>张总</t>
  </si>
  <si>
    <t>硬件销售收入相关收入，杭州区域区域</t>
  </si>
  <si>
    <t>2023-01-09</t>
  </si>
  <si>
    <t>ToC电商业务</t>
  </si>
  <si>
    <t>行政部</t>
  </si>
  <si>
    <t>ToC电商-2023年1月项目3</t>
  </si>
  <si>
    <t>收入</t>
  </si>
  <si>
    <t>其他业务收入</t>
  </si>
  <si>
    <t>广告佣金收入</t>
  </si>
  <si>
    <t>杭州区域</t>
  </si>
  <si>
    <t>部分回款</t>
  </si>
  <si>
    <t>发票作废</t>
  </si>
  <si>
    <t>周八</t>
  </si>
  <si>
    <t>刘总</t>
  </si>
  <si>
    <t>广告佣金收入相关收入，杭州区域区域</t>
  </si>
  <si>
    <t>2023-01-02</t>
  </si>
  <si>
    <t>智能硬件销售业务</t>
  </si>
  <si>
    <t>市场部</t>
  </si>
  <si>
    <t>智能硬件销售-2023年1月项目7</t>
  </si>
  <si>
    <t>收入</t>
  </si>
  <si>
    <t>其他业务收入</t>
  </si>
  <si>
    <t>场地租赁收入</t>
  </si>
  <si>
    <t>北京区域</t>
  </si>
  <si>
    <t>坏账</t>
  </si>
  <si>
    <t>发票作废</t>
  </si>
  <si>
    <t>周八</t>
  </si>
  <si>
    <t>李总</t>
  </si>
  <si>
    <t>场地租赁收入相关收入，北京区域区域</t>
  </si>
  <si>
    <t>2023-01-15</t>
  </si>
  <si>
    <t>ToB SaaS业务</t>
  </si>
  <si>
    <t>行政部</t>
  </si>
  <si>
    <t>ToB SaaS-2023年1月项目2</t>
  </si>
  <si>
    <t>收入</t>
  </si>
  <si>
    <t>主营业务收入</t>
  </si>
  <si>
    <t>电商销售收入</t>
  </si>
  <si>
    <t>广州区域</t>
  </si>
  <si>
    <t>未回款</t>
  </si>
  <si>
    <t>部分开票</t>
  </si>
  <si>
    <t>张三</t>
  </si>
  <si>
    <t>张总</t>
  </si>
  <si>
    <t>电商销售收入相关收入，广州区域区域</t>
  </si>
  <si>
    <t>2023-01-18</t>
  </si>
  <si>
    <t>ToB SaaS业务</t>
  </si>
  <si>
    <t>财务部</t>
  </si>
  <si>
    <t>ToB SaaS-2023年1月项目9</t>
  </si>
  <si>
    <t>收入</t>
  </si>
  <si>
    <t>主营业务收入</t>
  </si>
  <si>
    <t>电商销售收入</t>
  </si>
  <si>
    <t>成都区域</t>
  </si>
  <si>
    <t>未回款</t>
  </si>
  <si>
    <t>已开票</t>
  </si>
  <si>
    <t>王五</t>
  </si>
  <si>
    <t>刘总</t>
  </si>
  <si>
    <t>电商销售收入相关收入，成都区域区域</t>
  </si>
  <si>
    <t>2023-01-23</t>
  </si>
  <si>
    <t>ToB SaaS业务</t>
  </si>
  <si>
    <t>销售部</t>
  </si>
  <si>
    <t>ToB SaaS-2023年1月项目9</t>
  </si>
  <si>
    <t>支出</t>
  </si>
  <si>
    <t>财务费用</t>
  </si>
  <si>
    <t>银行手续费</t>
  </si>
  <si>
    <t>武汉区域</t>
  </si>
  <si>
    <t>已支付</t>
  </si>
  <si>
    <t>发票作废</t>
  </si>
  <si>
    <t>孙七</t>
  </si>
  <si>
    <t>李总</t>
  </si>
  <si>
    <t>银行手续费相关支出，武汉区域区域</t>
  </si>
  <si>
    <t>2023-01-03</t>
  </si>
  <si>
    <t>ToC电商业务</t>
  </si>
  <si>
    <t>研发部</t>
  </si>
  <si>
    <t>ToC电商-2023年1月项目9</t>
  </si>
  <si>
    <t>支出</t>
  </si>
  <si>
    <t>财务费用</t>
  </si>
  <si>
    <t>利息支出</t>
  </si>
  <si>
    <t>上海区域</t>
  </si>
  <si>
    <t>已支付</t>
  </si>
  <si>
    <t>未开票</t>
  </si>
  <si>
    <t>吴九</t>
  </si>
  <si>
    <t>刘总</t>
  </si>
  <si>
    <t>利息支出相关支出，上海区域区域</t>
  </si>
  <si>
    <t>2023-01-01</t>
  </si>
  <si>
    <t>定制化服务业务</t>
  </si>
  <si>
    <t>财务部</t>
  </si>
  <si>
    <t>定制化服务-2023年1月项目4</t>
  </si>
  <si>
    <t>支出</t>
  </si>
  <si>
    <t>主营业务成本</t>
  </si>
  <si>
    <t>物流配送成本</t>
  </si>
  <si>
    <t>深圳区域</t>
  </si>
  <si>
    <t>已支付</t>
  </si>
  <si>
    <t>部分开票</t>
  </si>
  <si>
    <t>张三</t>
  </si>
  <si>
    <t>张总</t>
  </si>
  <si>
    <t>物流配送成本相关支出，深圳区域区域</t>
  </si>
  <si>
    <t>2023-01-12</t>
  </si>
  <si>
    <t>ToC电商业务</t>
  </si>
  <si>
    <t>运营部</t>
  </si>
  <si>
    <t>ToC电商-2023年1月项目1</t>
  </si>
  <si>
    <t>支出</t>
  </si>
  <si>
    <t>管理费用</t>
  </si>
  <si>
    <t>折旧摊销费</t>
  </si>
  <si>
    <t>杭州区域</t>
  </si>
  <si>
    <t>已支付</t>
  </si>
  <si>
    <t>发票作废</t>
  </si>
  <si>
    <t>赵六</t>
  </si>
  <si>
    <t>陈总</t>
  </si>
  <si>
    <t>折旧摊销费相关支出，杭州区域区域</t>
  </si>
  <si>
    <t>2023-01-01</t>
  </si>
  <si>
    <t>ToB SaaS业务</t>
  </si>
  <si>
    <t>运营部</t>
  </si>
  <si>
    <t>ToB SaaS-2023年1月项目2</t>
  </si>
  <si>
    <t>支出</t>
  </si>
  <si>
    <t>主营业务成本</t>
  </si>
  <si>
    <t>硬件生产成本</t>
  </si>
  <si>
    <t>北京区域</t>
  </si>
  <si>
    <t>已支付</t>
  </si>
  <si>
    <t>已开票</t>
  </si>
  <si>
    <t>张三</t>
  </si>
  <si>
    <t>刘总</t>
  </si>
  <si>
    <t>硬件生产成本相关支出，北京区域区域</t>
  </si>
  <si>
    <t>2023-01-27</t>
  </si>
  <si>
    <t>ToC电商业务</t>
  </si>
  <si>
    <t>研发部</t>
  </si>
  <si>
    <t>ToC电商-2023年1月项目2</t>
  </si>
  <si>
    <t>收入</t>
  </si>
  <si>
    <t>主营业务收入</t>
  </si>
  <si>
    <t>SaaS订阅收入</t>
  </si>
  <si>
    <t>深圳区域</t>
  </si>
  <si>
    <t>已回款</t>
  </si>
  <si>
    <t>已开票</t>
  </si>
  <si>
    <t>孙七</t>
  </si>
  <si>
    <t>刘总</t>
  </si>
  <si>
    <t>SaaS订阅收入相关收入，深圳区域区域</t>
  </si>
  <si>
    <t>2023-01-25</t>
  </si>
  <si>
    <t>ToC电商业务</t>
  </si>
  <si>
    <t>行政部</t>
  </si>
  <si>
    <t>ToC电商-2023年1月项目6</t>
  </si>
  <si>
    <t>收入</t>
  </si>
  <si>
    <t>其他业务收入</t>
  </si>
  <si>
    <t>广告佣金收入</t>
  </si>
  <si>
    <t>上海区域</t>
  </si>
  <si>
    <t>已回款</t>
  </si>
  <si>
    <t>未开票</t>
  </si>
  <si>
    <t>赵六</t>
  </si>
  <si>
    <t>李总</t>
  </si>
  <si>
    <t>广告佣金收入相关收入，上海区域区域</t>
  </si>
  <si>
    <t>2023-01-28</t>
  </si>
  <si>
    <t>ToB SaaS业务</t>
  </si>
  <si>
    <t>市场部</t>
  </si>
  <si>
    <t>ToB SaaS-2023年1月项目9</t>
  </si>
  <si>
    <t>收入</t>
  </si>
  <si>
    <t>营业外收入</t>
  </si>
  <si>
    <t>违约金收入</t>
  </si>
  <si>
    <t>武汉区域</t>
  </si>
  <si>
    <t>已回款</t>
  </si>
  <si>
    <t>已开票</t>
  </si>
  <si>
    <t>吴九</t>
  </si>
  <si>
    <t>刘总</t>
  </si>
  <si>
    <t>违约金收入相关收入，武汉区域区域</t>
  </si>
  <si>
    <t>2023-01-23</t>
  </si>
  <si>
    <t>ToB SaaS业务</t>
  </si>
  <si>
    <t>研发部</t>
  </si>
  <si>
    <t>ToB SaaS-2023年1月项目6</t>
  </si>
  <si>
    <t>收入</t>
  </si>
  <si>
    <t>主营业务收入</t>
  </si>
  <si>
    <t>硬件销售收入</t>
  </si>
  <si>
    <t>南京区域</t>
  </si>
  <si>
    <t>已回款</t>
  </si>
  <si>
    <t>未开票</t>
  </si>
  <si>
    <t>王五</t>
  </si>
  <si>
    <t>李总</t>
  </si>
  <si>
    <t>硬件销售收入相关收入，南京区域区域</t>
  </si>
  <si>
    <t>2023-02-07</t>
  </si>
  <si>
    <t>智能硬件销售业务</t>
  </si>
  <si>
    <t>财务部</t>
  </si>
  <si>
    <t>智能硬件销售-2023年2月项目2</t>
  </si>
  <si>
    <t>支出</t>
  </si>
  <si>
    <t>主营业务成本</t>
  </si>
  <si>
    <t>技术服务成本</t>
  </si>
  <si>
    <t>深圳区域</t>
  </si>
  <si>
    <t>已支付</t>
  </si>
  <si>
    <t>部分开票</t>
  </si>
  <si>
    <t>王五</t>
  </si>
  <si>
    <t>李总</t>
  </si>
  <si>
    <t>技术服务成本相关支出，深圳区域区域</t>
  </si>
  <si>
    <t>2023-02-13</t>
  </si>
  <si>
    <t>智能硬件销售业务</t>
  </si>
  <si>
    <t>行政部</t>
  </si>
  <si>
    <t>智能硬件销售-2023年2月项目6</t>
  </si>
  <si>
    <t>支出</t>
  </si>
  <si>
    <t>财务费用</t>
  </si>
  <si>
    <t>利息支出</t>
  </si>
  <si>
    <t>杭州区域</t>
  </si>
  <si>
    <t>已支付</t>
  </si>
  <si>
    <t>发票作废</t>
  </si>
  <si>
    <t>周八</t>
  </si>
  <si>
    <t>李总</t>
  </si>
  <si>
    <t>利息支出相关支出，杭州区域区域</t>
  </si>
  <si>
    <t>2023-02-04</t>
  </si>
  <si>
    <t>智能硬件销售业务</t>
  </si>
  <si>
    <t>运营部</t>
  </si>
  <si>
    <t>智能硬件销售-2023年2月项目5</t>
  </si>
  <si>
    <t>收入</t>
  </si>
  <si>
    <t>营业外收入</t>
  </si>
  <si>
    <t>资产盘盈收入</t>
  </si>
  <si>
    <t>武汉区域</t>
  </si>
  <si>
    <t>未回款</t>
  </si>
  <si>
    <t>发票作废</t>
  </si>
  <si>
    <t>吴九</t>
  </si>
  <si>
    <t>陈总</t>
  </si>
  <si>
    <t>资产盘盈收入相关收入，武汉区域区域</t>
  </si>
  <si>
    <t>2023-02-03</t>
  </si>
  <si>
    <t>ToC电商业务</t>
  </si>
  <si>
    <t>财务部</t>
  </si>
  <si>
    <t>ToC电商-2023年2月项目4</t>
  </si>
  <si>
    <t>收入</t>
  </si>
  <si>
    <t>主营业务收入</t>
  </si>
  <si>
    <t>电商销售收入</t>
  </si>
  <si>
    <t>武汉区域</t>
  </si>
  <si>
    <t>部分回款</t>
  </si>
  <si>
    <t>部分开票</t>
  </si>
  <si>
    <t>周八</t>
  </si>
  <si>
    <t>张总</t>
  </si>
  <si>
    <t>电商销售收入相关收入，武汉区域区域</t>
  </si>
  <si>
    <t>2023-02-20</t>
  </si>
  <si>
    <t>ToC电商业务</t>
  </si>
  <si>
    <t>财务部</t>
  </si>
  <si>
    <t>ToC电商-2023年2月项目8</t>
  </si>
  <si>
    <t>支出</t>
  </si>
  <si>
    <t>营业外支出</t>
  </si>
  <si>
    <t>捐赠支出</t>
  </si>
  <si>
    <t>上海区域</t>
  </si>
  <si>
    <t>已支付</t>
  </si>
  <si>
    <t>未开票</t>
  </si>
  <si>
    <t>王五</t>
  </si>
  <si>
    <t>陈总</t>
  </si>
  <si>
    <t>捐赠支出相关支出，上海区域区域</t>
  </si>
  <si>
    <t>2023-02-14</t>
  </si>
  <si>
    <t>ToC电商业务</t>
  </si>
  <si>
    <t>运营部</t>
  </si>
  <si>
    <t>ToC电商-2023年2月项目2</t>
  </si>
  <si>
    <t>收入</t>
  </si>
  <si>
    <t>主营业务收入</t>
  </si>
  <si>
    <t>电商销售收入</t>
  </si>
  <si>
    <t>武汉区域</t>
  </si>
  <si>
    <t>部分回款</t>
  </si>
  <si>
    <t>部分开票</t>
  </si>
  <si>
    <t>周八</t>
  </si>
  <si>
    <t>李总</t>
  </si>
  <si>
    <t>电商销售收入相关收入，武汉区域区域</t>
  </si>
  <si>
    <t>2023-02-01</t>
  </si>
  <si>
    <t>定制化服务业务</t>
  </si>
  <si>
    <t>运营部</t>
  </si>
  <si>
    <t>定制化服务-2023年2月项目4</t>
  </si>
  <si>
    <t>收入</t>
  </si>
  <si>
    <t>其他业务收入</t>
  </si>
  <si>
    <t>场地租赁收入</t>
  </si>
  <si>
    <t>深圳区域</t>
  </si>
  <si>
    <t>坏账</t>
  </si>
  <si>
    <t>已开票</t>
  </si>
  <si>
    <t>李四</t>
  </si>
  <si>
    <t>张总</t>
  </si>
  <si>
    <t>场地租赁收入相关收入，深圳区域区域</t>
  </si>
  <si>
    <t>2023-02-09</t>
  </si>
  <si>
    <t>智能硬件销售业务</t>
  </si>
  <si>
    <t>销售部</t>
  </si>
  <si>
    <t>智能硬件销售-2023年2月项目6</t>
  </si>
  <si>
    <t>支出</t>
  </si>
  <si>
    <t>营业外支出</t>
  </si>
  <si>
    <t>捐赠支出</t>
  </si>
  <si>
    <t>南京区域</t>
  </si>
  <si>
    <t>已支付</t>
  </si>
  <si>
    <t>未开票</t>
  </si>
  <si>
    <t>郑十</t>
  </si>
  <si>
    <t>李总</t>
  </si>
  <si>
    <t>捐赠支出相关支出，南京区域区域</t>
  </si>
  <si>
    <t>2023-02-09</t>
  </si>
  <si>
    <t>ToC电商业务</t>
  </si>
  <si>
    <t>研发部</t>
  </si>
  <si>
    <t>ToC电商-2023年2月项目7</t>
  </si>
  <si>
    <t>收入</t>
  </si>
  <si>
    <t>营业外收入</t>
  </si>
  <si>
    <t>政府补贴</t>
  </si>
  <si>
    <t>北京区域</t>
  </si>
  <si>
    <t>未回款</t>
  </si>
  <si>
    <t>部分开票</t>
  </si>
  <si>
    <t>周八</t>
  </si>
  <si>
    <t>陈总</t>
  </si>
  <si>
    <t>政府补贴相关收入，北京区域区域</t>
  </si>
  <si>
    <t>2023-02-11</t>
  </si>
  <si>
    <t>智能硬件销售业务</t>
  </si>
  <si>
    <t>市场部</t>
  </si>
  <si>
    <t>智能硬件销售-2023年2月项目10</t>
  </si>
  <si>
    <t>收入</t>
  </si>
  <si>
    <t>其他业务收入</t>
  </si>
  <si>
    <t>技术服务费收入</t>
  </si>
  <si>
    <t>成都区域</t>
  </si>
  <si>
    <t>已回款</t>
  </si>
  <si>
    <t>已开票</t>
  </si>
  <si>
    <t>郑十</t>
  </si>
  <si>
    <t>王总</t>
  </si>
  <si>
    <t>技术服务费收入相关收入，成都区域区域</t>
  </si>
  <si>
    <t>2023-02-25</t>
  </si>
  <si>
    <t>ToC电商业务</t>
  </si>
  <si>
    <t>人事部</t>
  </si>
  <si>
    <t>ToC电商-2023年2月项目8</t>
  </si>
  <si>
    <t>支出</t>
  </si>
  <si>
    <t>财务费用</t>
  </si>
  <si>
    <t>银行手续费</t>
  </si>
  <si>
    <t>广州区域</t>
  </si>
  <si>
    <t>已支付</t>
  </si>
  <si>
    <t>发票作废</t>
  </si>
  <si>
    <t>孙七</t>
  </si>
  <si>
    <t>刘总</t>
  </si>
  <si>
    <t>银行手续费相关支出，广州区域区域</t>
  </si>
  <si>
    <t>2023-02-08</t>
  </si>
  <si>
    <t>智能硬件销售业务</t>
  </si>
  <si>
    <t>行政部</t>
  </si>
  <si>
    <t>智能硬件销售-2023年2月项目10</t>
  </si>
  <si>
    <t>收入</t>
  </si>
  <si>
    <t>主营业务收入</t>
  </si>
  <si>
    <t>电商销售收入</t>
  </si>
  <si>
    <t>杭州区域</t>
  </si>
  <si>
    <t>部分回款</t>
  </si>
  <si>
    <t>部分开票</t>
  </si>
  <si>
    <t>赵六</t>
  </si>
  <si>
    <t>王总</t>
  </si>
  <si>
    <t>电商销售收入相关收入，杭州区域区域</t>
  </si>
  <si>
    <t>2023-02-01</t>
  </si>
  <si>
    <t>ToC电商业务</t>
  </si>
  <si>
    <t>销售部</t>
  </si>
  <si>
    <t>ToC电商-2023年2月项目4</t>
  </si>
  <si>
    <t>支出</t>
  </si>
  <si>
    <t>主营业务成本</t>
  </si>
  <si>
    <t>商品采购成本</t>
  </si>
  <si>
    <t>北京区域</t>
  </si>
  <si>
    <t>已支付</t>
  </si>
  <si>
    <t>已开票</t>
  </si>
  <si>
    <t>周八</t>
  </si>
  <si>
    <t>王总</t>
  </si>
  <si>
    <t>商品采购成本相关支出，北京区域区域</t>
  </si>
  <si>
    <t>2023-02-17</t>
  </si>
  <si>
    <t>定制化服务业务</t>
  </si>
  <si>
    <t>财务部</t>
  </si>
  <si>
    <t>定制化服务-2023年2月项目10</t>
  </si>
  <si>
    <t>收入</t>
  </si>
  <si>
    <t>主营业务收入</t>
  </si>
  <si>
    <t>电商销售收入</t>
  </si>
  <si>
    <t>上海区域</t>
  </si>
  <si>
    <t>坏账</t>
  </si>
  <si>
    <t>未开票</t>
  </si>
  <si>
    <t>孙七</t>
  </si>
  <si>
    <t>陈总</t>
  </si>
  <si>
    <t>电商销售收入相关收入，上海区域区域</t>
  </si>
  <si>
    <t>2023-02-21</t>
  </si>
  <si>
    <t>ToC电商业务</t>
  </si>
  <si>
    <t>运营部</t>
  </si>
  <si>
    <t>ToC电商-2023年2月项目8</t>
  </si>
  <si>
    <t>支出</t>
  </si>
  <si>
    <t>研发费用</t>
  </si>
  <si>
    <t>技术研发费</t>
  </si>
  <si>
    <t>武汉区域</t>
  </si>
  <si>
    <t>已支付</t>
  </si>
  <si>
    <t>部分开票</t>
  </si>
  <si>
    <t>郑十</t>
  </si>
  <si>
    <t>陈总</t>
  </si>
  <si>
    <t>技术研发费相关支出，武汉区域区域</t>
  </si>
  <si>
    <t>2023-03-24</t>
  </si>
  <si>
    <t>定制化服务业务</t>
  </si>
  <si>
    <t>市场部</t>
  </si>
  <si>
    <t>定制化服务-2023年3月项目10</t>
  </si>
  <si>
    <t>支出</t>
  </si>
  <si>
    <t>销售费用</t>
  </si>
  <si>
    <t>市场推广费</t>
  </si>
  <si>
    <t>广州区域</t>
  </si>
  <si>
    <t>已支付</t>
  </si>
  <si>
    <t>未开票</t>
  </si>
  <si>
    <t>郑十</t>
  </si>
  <si>
    <t>李总</t>
  </si>
  <si>
    <t>市场推广费相关支出，广州区域区域</t>
  </si>
  <si>
    <t>2023-03-26</t>
  </si>
  <si>
    <t>智能硬件销售业务</t>
  </si>
  <si>
    <t>销售部</t>
  </si>
  <si>
    <t>智能硬件销售-2023年3月项目1</t>
  </si>
  <si>
    <t>支出</t>
  </si>
  <si>
    <t>研发费用</t>
  </si>
  <si>
    <t>设备采购费</t>
  </si>
  <si>
    <t>武汉区域</t>
  </si>
  <si>
    <t>已支付</t>
  </si>
  <si>
    <t>未开票</t>
  </si>
  <si>
    <t>孙七</t>
  </si>
  <si>
    <t>李总</t>
  </si>
  <si>
    <t>设备采购费相关支出，武汉区域区域</t>
  </si>
  <si>
    <t>2023-03-20</t>
  </si>
  <si>
    <t>ToB SaaS业务</t>
  </si>
  <si>
    <t>财务部</t>
  </si>
  <si>
    <t>ToB SaaS-2023年3月项目5</t>
  </si>
  <si>
    <t>支出</t>
  </si>
  <si>
    <t>财务费用</t>
  </si>
  <si>
    <t>利息支出</t>
  </si>
  <si>
    <t>南京区域</t>
  </si>
  <si>
    <t>已支付</t>
  </si>
  <si>
    <t>部分开票</t>
  </si>
  <si>
    <t>李四</t>
  </si>
  <si>
    <t>李总</t>
  </si>
  <si>
    <t>利息支出相关支出，南京区域区域</t>
  </si>
  <si>
    <t>2023-03-28</t>
  </si>
  <si>
    <t>ToB SaaS业务</t>
  </si>
  <si>
    <t>销售部</t>
  </si>
  <si>
    <t>ToB SaaS-2023年3月项目8</t>
  </si>
  <si>
    <t>支出</t>
  </si>
  <si>
    <t>管理费用</t>
  </si>
  <si>
    <t>水电费</t>
  </si>
  <si>
    <t>上海区域</t>
  </si>
  <si>
    <t>已支付</t>
  </si>
  <si>
    <t>已开票</t>
  </si>
  <si>
    <t>赵六</t>
  </si>
  <si>
    <t>刘总</t>
  </si>
  <si>
    <t>水电费相关支出，上海区域区域</t>
  </si>
  <si>
    <t>2023-03-16</t>
  </si>
  <si>
    <t>ToC电商业务</t>
  </si>
  <si>
    <t>行政部</t>
  </si>
  <si>
    <t>ToC电商-2023年3月项目1</t>
  </si>
  <si>
    <t>收入</t>
  </si>
  <si>
    <t>其他业务收入</t>
  </si>
  <si>
    <t>场地租赁收入</t>
  </si>
  <si>
    <t>广州区域</t>
  </si>
  <si>
    <t>已回款</t>
  </si>
  <si>
    <t>未开票</t>
  </si>
  <si>
    <t>王五</t>
  </si>
  <si>
    <t>陈总</t>
  </si>
  <si>
    <t>场地租赁收入相关收入，广州区域区域</t>
  </si>
  <si>
    <t>2023-03-24</t>
  </si>
  <si>
    <t>ToC电商业务</t>
  </si>
  <si>
    <t>人事部</t>
  </si>
  <si>
    <t>ToC电商-2023年3月项目6</t>
  </si>
  <si>
    <t>支出</t>
  </si>
  <si>
    <t>管理费用</t>
  </si>
  <si>
    <t>水电费</t>
  </si>
  <si>
    <t>南京区域</t>
  </si>
  <si>
    <t>已支付</t>
  </si>
  <si>
    <t>未开票</t>
  </si>
  <si>
    <t>张三</t>
  </si>
  <si>
    <t>李总</t>
  </si>
  <si>
    <t>水电费相关支出，南京区域区域</t>
  </si>
  <si>
    <t>2023-03-04</t>
  </si>
  <si>
    <t>ToB SaaS业务</t>
  </si>
  <si>
    <t>财务部</t>
  </si>
  <si>
    <t>ToB SaaS-2023年3月项目8</t>
  </si>
  <si>
    <t>收入</t>
  </si>
  <si>
    <t>其他业务收入</t>
  </si>
  <si>
    <t>技术服务费收入</t>
  </si>
  <si>
    <t>上海区域</t>
  </si>
  <si>
    <t>已回款</t>
  </si>
  <si>
    <t>未开票</t>
  </si>
  <si>
    <t>吴九</t>
  </si>
  <si>
    <t>刘总</t>
  </si>
  <si>
    <t>技术服务费收入相关收入，上海区域区域</t>
  </si>
  <si>
    <t>2023-03-23</t>
  </si>
  <si>
    <t>ToB SaaS业务</t>
  </si>
  <si>
    <t>市场部</t>
  </si>
  <si>
    <t>ToB SaaS-2023年3月项目3</t>
  </si>
  <si>
    <t>收入</t>
  </si>
  <si>
    <t>主营业务收入</t>
  </si>
  <si>
    <t>硬件销售收入</t>
  </si>
  <si>
    <t>武汉区域</t>
  </si>
  <si>
    <t>已回款</t>
  </si>
  <si>
    <t>发票作废</t>
  </si>
  <si>
    <t>郑十</t>
  </si>
  <si>
    <t>李总</t>
  </si>
  <si>
    <t>硬件销售收入相关收入，武汉区域区域</t>
  </si>
  <si>
    <t>2023-03-13</t>
  </si>
  <si>
    <t>ToC电商业务</t>
  </si>
  <si>
    <t>行政部</t>
  </si>
  <si>
    <t>ToC电商-2023年3月项目4</t>
  </si>
  <si>
    <t>收入</t>
  </si>
  <si>
    <t>主营业务收入</t>
  </si>
  <si>
    <t>SaaS订阅收入</t>
  </si>
  <si>
    <t>北京区域</t>
  </si>
  <si>
    <t>已回款</t>
  </si>
  <si>
    <t>部分开票</t>
  </si>
  <si>
    <t>赵六</t>
  </si>
  <si>
    <t>李总</t>
  </si>
  <si>
    <t>SaaS订阅收入相关收入，北京区域区域</t>
  </si>
  <si>
    <t>2023-03-24</t>
  </si>
  <si>
    <t>ToB SaaS业务</t>
  </si>
  <si>
    <t>行政部</t>
  </si>
  <si>
    <t>ToB SaaS-2023年3月项目9</t>
  </si>
  <si>
    <t>收入</t>
  </si>
  <si>
    <t>主营业务收入</t>
  </si>
  <si>
    <t>定制服务收入</t>
  </si>
  <si>
    <t>深圳区域</t>
  </si>
  <si>
    <t>部分回款</t>
  </si>
  <si>
    <t>未开票</t>
  </si>
  <si>
    <t>郑十</t>
  </si>
  <si>
    <t>刘总</t>
  </si>
  <si>
    <t>定制服务收入相关收入，深圳区域区域</t>
  </si>
  <si>
    <t>2023-03-14</t>
  </si>
  <si>
    <t>定制化服务业务</t>
  </si>
  <si>
    <t>销售部</t>
  </si>
  <si>
    <t>定制化服务-2023年3月项目10</t>
  </si>
  <si>
    <t>支出</t>
  </si>
  <si>
    <t>管理费用</t>
  </si>
  <si>
    <t>办公费</t>
  </si>
  <si>
    <t>杭州区域</t>
  </si>
  <si>
    <t>已支付</t>
  </si>
  <si>
    <t>已开票</t>
  </si>
  <si>
    <t>孙七</t>
  </si>
  <si>
    <t>王总</t>
  </si>
  <si>
    <t>办公费相关支出，杭州区域区域</t>
  </si>
  <si>
    <t>2023-03-11</t>
  </si>
  <si>
    <t>智能硬件销售业务</t>
  </si>
  <si>
    <t>运营部</t>
  </si>
  <si>
    <t>智能硬件销售-2023年3月项目10</t>
  </si>
  <si>
    <t>收入</t>
  </si>
  <si>
    <t>营业外收入</t>
  </si>
  <si>
    <t>资产盘盈收入</t>
  </si>
  <si>
    <t>成都区域</t>
  </si>
  <si>
    <t>部分回款</t>
  </si>
  <si>
    <t>已开票</t>
  </si>
  <si>
    <t>赵六</t>
  </si>
  <si>
    <t>刘总</t>
  </si>
  <si>
    <t>资产盘盈收入相关收入，成都区域区域</t>
  </si>
  <si>
    <t>2023-03-23</t>
  </si>
  <si>
    <t>ToC电商业务</t>
  </si>
  <si>
    <t>研发部</t>
  </si>
  <si>
    <t>ToC电商-2023年3月项目10</t>
  </si>
  <si>
    <t>收入</t>
  </si>
  <si>
    <t>主营业务收入</t>
  </si>
  <si>
    <t>硬件销售收入</t>
  </si>
  <si>
    <t>上海区域</t>
  </si>
  <si>
    <t>部分回款</t>
  </si>
  <si>
    <t>已开票</t>
  </si>
  <si>
    <t>吴九</t>
  </si>
  <si>
    <t>李总</t>
  </si>
  <si>
    <t>硬件销售收入相关收入，上海区域区域</t>
  </si>
  <si>
    <t>2023-03-24</t>
  </si>
  <si>
    <t>定制化服务业务</t>
  </si>
  <si>
    <t>市场部</t>
  </si>
  <si>
    <t>定制化服务-2023年3月项目5</t>
  </si>
  <si>
    <t>支出</t>
  </si>
  <si>
    <t>销售费用</t>
  </si>
  <si>
    <t>业务招待费</t>
  </si>
  <si>
    <t>杭州区域</t>
  </si>
  <si>
    <t>已支付</t>
  </si>
  <si>
    <t>部分开票</t>
  </si>
  <si>
    <t>王五</t>
  </si>
  <si>
    <t>张总</t>
  </si>
  <si>
    <t>业务招待费相关支出，杭州区域区域</t>
  </si>
  <si>
    <t>2023-03-15</t>
  </si>
  <si>
    <t>ToC电商业务</t>
  </si>
  <si>
    <t>市场部</t>
  </si>
  <si>
    <t>ToC电商-2023年3月项目5</t>
  </si>
  <si>
    <t>收入</t>
  </si>
  <si>
    <t>其他业务收入</t>
  </si>
  <si>
    <t>技术服务费收入</t>
  </si>
  <si>
    <t>杭州区域</t>
  </si>
  <si>
    <t>已回款</t>
  </si>
  <si>
    <t>部分开票</t>
  </si>
  <si>
    <t>郑十</t>
  </si>
  <si>
    <t>陈总</t>
  </si>
  <si>
    <t>技术服务费收入相关收入，杭州区域区域</t>
  </si>
  <si>
    <t>2023-04-05</t>
  </si>
  <si>
    <t>智能硬件销售业务</t>
  </si>
  <si>
    <t>研发部</t>
  </si>
  <si>
    <t>智能硬件销售-2023年4月项目10</t>
  </si>
  <si>
    <t>收入</t>
  </si>
  <si>
    <t>主营业务收入</t>
  </si>
  <si>
    <t>电商销售收入</t>
  </si>
  <si>
    <t>深圳区域</t>
  </si>
  <si>
    <t>坏账</t>
  </si>
  <si>
    <t>已开票</t>
  </si>
  <si>
    <t>赵六</t>
  </si>
  <si>
    <t>王总</t>
  </si>
  <si>
    <t>电商销售收入相关收入，深圳区域区域</t>
  </si>
  <si>
    <t>2023-04-18</t>
  </si>
  <si>
    <t>定制化服务业务</t>
  </si>
  <si>
    <t>研发部</t>
  </si>
  <si>
    <t>定制化服务-2023年4月项目1</t>
  </si>
  <si>
    <t>收入</t>
  </si>
  <si>
    <t>其他业务收入</t>
  </si>
  <si>
    <t>场地租赁收入</t>
  </si>
  <si>
    <t>杭州区域</t>
  </si>
  <si>
    <t>已回款</t>
  </si>
  <si>
    <t>未开票</t>
  </si>
  <si>
    <t>赵六</t>
  </si>
  <si>
    <t>李总</t>
  </si>
  <si>
    <t>场地租赁收入相关收入，杭州区域区域</t>
  </si>
  <si>
    <t>2023-04-02</t>
  </si>
  <si>
    <t>定制化服务业务</t>
  </si>
  <si>
    <t>行政部</t>
  </si>
  <si>
    <t>定制化服务-2023年4月项目4</t>
  </si>
  <si>
    <t>支出</t>
  </si>
  <si>
    <t>主营业务成本</t>
  </si>
  <si>
    <t>商品采购成本</t>
  </si>
  <si>
    <t>广州区域</t>
  </si>
  <si>
    <t>已支付</t>
  </si>
  <si>
    <t>已开票</t>
  </si>
  <si>
    <t>王五</t>
  </si>
  <si>
    <t>张总</t>
  </si>
  <si>
    <t>商品采购成本相关支出，广州区域区域</t>
  </si>
  <si>
    <t>2023-04-01</t>
  </si>
  <si>
    <t>ToC电商业务</t>
  </si>
  <si>
    <t>销售部</t>
  </si>
  <si>
    <t>ToC电商-2023年4月项目1</t>
  </si>
  <si>
    <t>收入</t>
  </si>
  <si>
    <t>主营业务收入</t>
  </si>
  <si>
    <t>SaaS订阅收入</t>
  </si>
  <si>
    <t>杭州区域</t>
  </si>
  <si>
    <t>未回款</t>
  </si>
  <si>
    <t>未开票</t>
  </si>
  <si>
    <t>孙七</t>
  </si>
  <si>
    <t>李总</t>
  </si>
  <si>
    <t>SaaS订阅收入相关收入，杭州区域区域</t>
  </si>
  <si>
    <t>2023-04-21</t>
  </si>
  <si>
    <t>定制化服务业务</t>
  </si>
  <si>
    <t>研发部</t>
  </si>
  <si>
    <t>定制化服务-2023年4月项目4</t>
  </si>
  <si>
    <t>支出</t>
  </si>
  <si>
    <t>研发费用</t>
  </si>
  <si>
    <t>研发人员薪酬</t>
  </si>
  <si>
    <t>武汉区域</t>
  </si>
  <si>
    <t>已支付</t>
  </si>
  <si>
    <t>未开票</t>
  </si>
  <si>
    <t>李四</t>
  </si>
  <si>
    <t>李总</t>
  </si>
  <si>
    <t>研发人员薪酬相关支出，武汉区域区域</t>
  </si>
  <si>
    <t>2023-04-19</t>
  </si>
  <si>
    <t>定制化服务业务</t>
  </si>
  <si>
    <t>行政部</t>
  </si>
  <si>
    <t>定制化服务-2023年4月项目7</t>
  </si>
  <si>
    <t>支出</t>
  </si>
  <si>
    <t>研发费用</t>
  </si>
  <si>
    <t>技术研发费</t>
  </si>
  <si>
    <t>武汉区域</t>
  </si>
  <si>
    <t>已支付</t>
  </si>
  <si>
    <t>未开票</t>
  </si>
  <si>
    <t>张三</t>
  </si>
  <si>
    <t>刘总</t>
  </si>
  <si>
    <t>技术研发费相关支出，武汉区域区域</t>
  </si>
  <si>
    <t>2023-04-11</t>
  </si>
  <si>
    <t>ToB SaaS业务</t>
  </si>
  <si>
    <t>销售部</t>
  </si>
  <si>
    <t>ToB SaaS-2023年4月项目10</t>
  </si>
  <si>
    <t>支出</t>
  </si>
  <si>
    <t>管理费用</t>
  </si>
  <si>
    <t>管理人员薪酬</t>
  </si>
  <si>
    <t>广州区域</t>
  </si>
  <si>
    <t>已支付</t>
  </si>
  <si>
    <t>发票作废</t>
  </si>
  <si>
    <t>孙七</t>
  </si>
  <si>
    <t>陈总</t>
  </si>
  <si>
    <t>管理人员薪酬相关支出，广州区域区域</t>
  </si>
  <si>
    <t>2023-04-23</t>
  </si>
  <si>
    <t>ToB SaaS业务</t>
  </si>
  <si>
    <t>研发部</t>
  </si>
  <si>
    <t>ToB SaaS-2023年4月项目2</t>
  </si>
  <si>
    <t>收入</t>
  </si>
  <si>
    <t>主营业务收入</t>
  </si>
  <si>
    <t>电商销售收入</t>
  </si>
  <si>
    <t>上海区域</t>
  </si>
  <si>
    <t>坏账</t>
  </si>
  <si>
    <t>已开票</t>
  </si>
  <si>
    <t>王五</t>
  </si>
  <si>
    <t>张总</t>
  </si>
  <si>
    <t>电商销售收入相关收入，上海区域区域</t>
  </si>
  <si>
    <t>2023-04-22</t>
  </si>
  <si>
    <t>智能硬件销售业务</t>
  </si>
  <si>
    <t>市场部</t>
  </si>
  <si>
    <t>智能硬件销售-2023年4月项目8</t>
  </si>
  <si>
    <t>收入</t>
  </si>
  <si>
    <t>其他业务收入</t>
  </si>
  <si>
    <t>场地租赁收入</t>
  </si>
  <si>
    <t>武汉区域</t>
  </si>
  <si>
    <t>未回款</t>
  </si>
  <si>
    <t>未开票</t>
  </si>
  <si>
    <t>李四</t>
  </si>
  <si>
    <t>张总</t>
  </si>
  <si>
    <t>场地租赁收入相关收入，武汉区域区域</t>
  </si>
  <si>
    <t>2023-04-01</t>
  </si>
  <si>
    <t>ToC电商业务</t>
  </si>
  <si>
    <t>财务部</t>
  </si>
  <si>
    <t>ToC电商-2023年4月项目10</t>
  </si>
  <si>
    <t>支出</t>
  </si>
  <si>
    <t>营业外支出</t>
  </si>
  <si>
    <t>资产盘亏支出</t>
  </si>
  <si>
    <t>深圳区域</t>
  </si>
  <si>
    <t>已支付</t>
  </si>
  <si>
    <t>未开票</t>
  </si>
  <si>
    <t>张三</t>
  </si>
  <si>
    <t>王总</t>
  </si>
  <si>
    <t>资产盘亏支出相关支出，深圳区域区域</t>
  </si>
  <si>
    <t>2023-04-17</t>
  </si>
  <si>
    <t>定制化服务业务</t>
  </si>
  <si>
    <t>研发部</t>
  </si>
  <si>
    <t>定制化服务-2023年4月项目10</t>
  </si>
  <si>
    <t>支出</t>
  </si>
  <si>
    <t>管理费用</t>
  </si>
  <si>
    <t>办公费</t>
  </si>
  <si>
    <t>深圳区域</t>
  </si>
  <si>
    <t>已支付</t>
  </si>
  <si>
    <t>发票作废</t>
  </si>
  <si>
    <t>孙七</t>
  </si>
  <si>
    <t>李总</t>
  </si>
  <si>
    <t>办公费相关支出，深圳区域区域</t>
  </si>
  <si>
    <t>2023-04-02</t>
  </si>
  <si>
    <t>定制化服务业务</t>
  </si>
  <si>
    <t>人事部</t>
  </si>
  <si>
    <t>定制化服务-2023年4月项目6</t>
  </si>
  <si>
    <t>支出</t>
  </si>
  <si>
    <t>财务费用</t>
  </si>
  <si>
    <t>利息支出</t>
  </si>
  <si>
    <t>上海区域</t>
  </si>
  <si>
    <t>已支付</t>
  </si>
  <si>
    <t>发票作废</t>
  </si>
  <si>
    <t>郑十</t>
  </si>
  <si>
    <t>陈总</t>
  </si>
  <si>
    <t>利息支出相关支出，上海区域区域</t>
  </si>
  <si>
    <t>2023-04-24</t>
  </si>
  <si>
    <t>定制化服务业务</t>
  </si>
  <si>
    <t>行政部</t>
  </si>
  <si>
    <t>定制化服务-2023年4月项目4</t>
  </si>
  <si>
    <t>收入</t>
  </si>
  <si>
    <t>主营业务收入</t>
  </si>
  <si>
    <t>SaaS订阅收入</t>
  </si>
  <si>
    <t>上海区域</t>
  </si>
  <si>
    <t>未回款</t>
  </si>
  <si>
    <t>发票作废</t>
  </si>
  <si>
    <t>王五</t>
  </si>
  <si>
    <t>张总</t>
  </si>
  <si>
    <t>SaaS订阅收入相关收入，上海区域区域</t>
  </si>
  <si>
    <t>2023-04-05</t>
  </si>
  <si>
    <t>ToC电商业务</t>
  </si>
  <si>
    <t>运营部</t>
  </si>
  <si>
    <t>ToC电商-2023年4月项目7</t>
  </si>
  <si>
    <t>收入</t>
  </si>
  <si>
    <t>主营业务收入</t>
  </si>
  <si>
    <t>定制服务收入</t>
  </si>
  <si>
    <t>广州区域</t>
  </si>
  <si>
    <t>已回款</t>
  </si>
  <si>
    <t>发票作废</t>
  </si>
  <si>
    <t>周八</t>
  </si>
  <si>
    <t>陈总</t>
  </si>
  <si>
    <t>定制服务收入相关收入，广州区域区域</t>
  </si>
  <si>
    <t>2023-04-24</t>
  </si>
  <si>
    <t>ToC电商业务</t>
  </si>
  <si>
    <t>人事部</t>
  </si>
  <si>
    <t>ToC电商-2023年4月项目3</t>
  </si>
  <si>
    <t>收入</t>
  </si>
  <si>
    <t>营业外收入</t>
  </si>
  <si>
    <t>违约金收入</t>
  </si>
  <si>
    <t>南京区域</t>
  </si>
  <si>
    <t>部分回款</t>
  </si>
  <si>
    <t>发票作废</t>
  </si>
  <si>
    <t>郑十</t>
  </si>
  <si>
    <t>张总</t>
  </si>
  <si>
    <t>违约金收入相关收入，南京区域区域</t>
  </si>
  <si>
    <t>2023-05-20</t>
  </si>
  <si>
    <t>定制化服务业务</t>
  </si>
  <si>
    <t>市场部</t>
  </si>
  <si>
    <t>定制化服务-2023年5月项目7</t>
  </si>
  <si>
    <t>收入</t>
  </si>
  <si>
    <t>营业外收入</t>
  </si>
  <si>
    <t>资产盘盈收入</t>
  </si>
  <si>
    <t>杭州区域</t>
  </si>
  <si>
    <t>坏账</t>
  </si>
  <si>
    <t>未开票</t>
  </si>
  <si>
    <t>赵六</t>
  </si>
  <si>
    <t>李总</t>
  </si>
  <si>
    <t>资产盘盈收入相关收入，杭州区域区域</t>
  </si>
  <si>
    <t>2023-05-01</t>
  </si>
  <si>
    <t>定制化服务业务</t>
  </si>
  <si>
    <t>行政部</t>
  </si>
  <si>
    <t>定制化服务-2023年5月项目8</t>
  </si>
  <si>
    <t>支出</t>
  </si>
  <si>
    <t>研发费用</t>
  </si>
  <si>
    <t>设备采购费</t>
  </si>
  <si>
    <t>杭州区域</t>
  </si>
  <si>
    <t>已支付</t>
  </si>
  <si>
    <t>部分开票</t>
  </si>
  <si>
    <t>张三</t>
  </si>
  <si>
    <t>张总</t>
  </si>
  <si>
    <t>设备采购费相关支出，杭州区域区域</t>
  </si>
  <si>
    <t>2023-05-17</t>
  </si>
  <si>
    <t>智能硬件销售业务</t>
  </si>
  <si>
    <t>运营部</t>
  </si>
  <si>
    <t>智能硬件销售-2023年5月项目9</t>
  </si>
  <si>
    <t>支出</t>
  </si>
  <si>
    <t>主营业务成本</t>
  </si>
  <si>
    <t>技术服务成本</t>
  </si>
  <si>
    <t>武汉区域</t>
  </si>
  <si>
    <t>已支付</t>
  </si>
  <si>
    <t>未开票</t>
  </si>
  <si>
    <t>张三</t>
  </si>
  <si>
    <t>王总</t>
  </si>
  <si>
    <t>技术服务成本相关支出，武汉区域区域</t>
  </si>
  <si>
    <t>2023-05-01</t>
  </si>
  <si>
    <t>智能硬件销售业务</t>
  </si>
  <si>
    <t>销售部</t>
  </si>
  <si>
    <t>智能硬件销售-2023年5月项目5</t>
  </si>
  <si>
    <t>支出</t>
  </si>
  <si>
    <t>销售费用</t>
  </si>
  <si>
    <t>差旅费</t>
  </si>
  <si>
    <t>武汉区域</t>
  </si>
  <si>
    <t>已支付</t>
  </si>
  <si>
    <t>未开票</t>
  </si>
  <si>
    <t>张三</t>
  </si>
  <si>
    <t>刘总</t>
  </si>
  <si>
    <t>差旅费相关支出，武汉区域区域</t>
  </si>
  <si>
    <t>2023-05-09</t>
  </si>
  <si>
    <t>ToB SaaS业务</t>
  </si>
  <si>
    <t>人事部</t>
  </si>
  <si>
    <t>ToB SaaS-2023年5月项目6</t>
  </si>
  <si>
    <t>收入</t>
  </si>
  <si>
    <t>营业外收入</t>
  </si>
  <si>
    <t>资产盘盈收入</t>
  </si>
  <si>
    <t>上海区域</t>
  </si>
  <si>
    <t>坏账</t>
  </si>
  <si>
    <t>部分开票</t>
  </si>
  <si>
    <t>郑十</t>
  </si>
  <si>
    <t>张总</t>
  </si>
  <si>
    <t>资产盘盈收入相关收入，上海区域区域</t>
  </si>
  <si>
    <t>2023-05-05</t>
  </si>
  <si>
    <t>ToC电商业务</t>
  </si>
  <si>
    <t>市场部</t>
  </si>
  <si>
    <t>ToC电商-2023年5月项目1</t>
  </si>
  <si>
    <t>支出</t>
  </si>
  <si>
    <t>研发费用</t>
  </si>
  <si>
    <t>设备采购费</t>
  </si>
  <si>
    <t>成都区域</t>
  </si>
  <si>
    <t>已支付</t>
  </si>
  <si>
    <t>部分开票</t>
  </si>
  <si>
    <t>郑十</t>
  </si>
  <si>
    <t>刘总</t>
  </si>
  <si>
    <t>设备采购费相关支出，成都区域区域</t>
  </si>
  <si>
    <t>2023-05-09</t>
  </si>
  <si>
    <t>定制化服务业务</t>
  </si>
  <si>
    <t>行政部</t>
  </si>
  <si>
    <t>定制化服务-2023年5月项目10</t>
  </si>
  <si>
    <t>支出</t>
  </si>
  <si>
    <t>管理费用</t>
  </si>
  <si>
    <t>管理人员薪酬</t>
  </si>
  <si>
    <t>北京区域</t>
  </si>
  <si>
    <t>已支付</t>
  </si>
  <si>
    <t>发票作废</t>
  </si>
  <si>
    <t>孙七</t>
  </si>
  <si>
    <t>刘总</t>
  </si>
  <si>
    <t>管理人员薪酬相关支出，北京区域区域</t>
  </si>
  <si>
    <t>2023-05-10</t>
  </si>
  <si>
    <t>ToB SaaS业务</t>
  </si>
  <si>
    <t>销售部</t>
  </si>
  <si>
    <t>ToB SaaS-2023年5月项目4</t>
  </si>
  <si>
    <t>收入</t>
  </si>
  <si>
    <t>其他业务收入</t>
  </si>
  <si>
    <t>场地租赁收入</t>
  </si>
  <si>
    <t>成都区域</t>
  </si>
  <si>
    <t>部分回款</t>
  </si>
  <si>
    <t>已开票</t>
  </si>
  <si>
    <t>赵六</t>
  </si>
  <si>
    <t>陈总</t>
  </si>
  <si>
    <t>场地租赁收入相关收入，成都区域区域</t>
  </si>
  <si>
    <t>2023-05-26</t>
  </si>
  <si>
    <t>智能硬件销售业务</t>
  </si>
  <si>
    <t>销售部</t>
  </si>
  <si>
    <t>智能硬件销售-2023年5月项目3</t>
  </si>
  <si>
    <t>收入</t>
  </si>
  <si>
    <t>主营业务收入</t>
  </si>
  <si>
    <t>SaaS订阅收入</t>
  </si>
  <si>
    <t>成都区域</t>
  </si>
  <si>
    <t>坏账</t>
  </si>
  <si>
    <t>发票作废</t>
  </si>
  <si>
    <t>张三</t>
  </si>
  <si>
    <t>李总</t>
  </si>
  <si>
    <t>SaaS订阅收入相关收入，成都区域区域</t>
  </si>
  <si>
    <t>2023-05-19</t>
  </si>
  <si>
    <t>ToC电商业务</t>
  </si>
  <si>
    <t>财务部</t>
  </si>
  <si>
    <t>ToC电商-2023年5月项目1</t>
  </si>
  <si>
    <t>支出</t>
  </si>
  <si>
    <t>财务费用</t>
  </si>
  <si>
    <t>银行手续费</t>
  </si>
  <si>
    <t>北京区域</t>
  </si>
  <si>
    <t>已支付</t>
  </si>
  <si>
    <t>发票作废</t>
  </si>
  <si>
    <t>周八</t>
  </si>
  <si>
    <t>张总</t>
  </si>
  <si>
    <t>银行手续费相关支出，北京区域区域</t>
  </si>
  <si>
    <t>2023-05-11</t>
  </si>
  <si>
    <t>ToB SaaS业务</t>
  </si>
  <si>
    <t>运营部</t>
  </si>
  <si>
    <t>ToB SaaS-2023年5月项目4</t>
  </si>
  <si>
    <t>收入</t>
  </si>
  <si>
    <t>主营业务收入</t>
  </si>
  <si>
    <t>SaaS订阅收入</t>
  </si>
  <si>
    <t>杭州区域</t>
  </si>
  <si>
    <t>未回款</t>
  </si>
  <si>
    <t>部分开票</t>
  </si>
  <si>
    <t>孙七</t>
  </si>
  <si>
    <t>刘总</t>
  </si>
  <si>
    <t>SaaS订阅收入相关收入，杭州区域区域</t>
  </si>
  <si>
    <t>2023-05-27</t>
  </si>
  <si>
    <t>定制化服务业务</t>
  </si>
  <si>
    <t>行政部</t>
  </si>
  <si>
    <t>定制化服务-2023年5月项目2</t>
  </si>
  <si>
    <t>收入</t>
  </si>
  <si>
    <t>主营业务收入</t>
  </si>
  <si>
    <t>电商销售收入</t>
  </si>
  <si>
    <t>杭州区域</t>
  </si>
  <si>
    <t>坏账</t>
  </si>
  <si>
    <t>部分开票</t>
  </si>
  <si>
    <t>张三</t>
  </si>
  <si>
    <t>张总</t>
  </si>
  <si>
    <t>电商销售收入相关收入，杭州区域区域</t>
  </si>
  <si>
    <t>2023-05-26</t>
  </si>
  <si>
    <t>ToC电商业务</t>
  </si>
  <si>
    <t>人事部</t>
  </si>
  <si>
    <t>ToC电商-2023年5月项目1</t>
  </si>
  <si>
    <t>收入</t>
  </si>
  <si>
    <t>其他业务收入</t>
  </si>
  <si>
    <t>场地租赁收入</t>
  </si>
  <si>
    <t>北京区域</t>
  </si>
  <si>
    <t>未回款</t>
  </si>
  <si>
    <t>未开票</t>
  </si>
  <si>
    <t>郑十</t>
  </si>
  <si>
    <t>陈总</t>
  </si>
  <si>
    <t>场地租赁收入相关收入，北京区域区域</t>
  </si>
  <si>
    <t>2023-05-10</t>
  </si>
  <si>
    <t>ToB SaaS业务</t>
  </si>
  <si>
    <t>运营部</t>
  </si>
  <si>
    <t>ToB SaaS-2023年5月项目10</t>
  </si>
  <si>
    <t>支出</t>
  </si>
  <si>
    <t>主营业务成本</t>
  </si>
  <si>
    <t>商品采购成本</t>
  </si>
  <si>
    <t>上海区域</t>
  </si>
  <si>
    <t>已支付</t>
  </si>
  <si>
    <t>未开票</t>
  </si>
  <si>
    <t>张三</t>
  </si>
  <si>
    <t>李总</t>
  </si>
  <si>
    <t>商品采购成本相关支出，上海区域区域</t>
  </si>
  <si>
    <t>2023-05-02</t>
  </si>
  <si>
    <t>智能硬件销售业务</t>
  </si>
  <si>
    <t>市场部</t>
  </si>
  <si>
    <t>智能硬件销售-2023年5月项目3</t>
  </si>
  <si>
    <t>收入</t>
  </si>
  <si>
    <t>其他业务收入</t>
  </si>
  <si>
    <t>场地租赁收入</t>
  </si>
  <si>
    <t>深圳区域</t>
  </si>
  <si>
    <t>坏账</t>
  </si>
  <si>
    <t>部分开票</t>
  </si>
  <si>
    <t>张三</t>
  </si>
  <si>
    <t>王总</t>
  </si>
  <si>
    <t>场地租赁收入相关收入，深圳区域区域</t>
  </si>
  <si>
    <t>2023-06-09</t>
  </si>
  <si>
    <t>ToC电商业务</t>
  </si>
  <si>
    <t>人事部</t>
  </si>
  <si>
    <t>ToC电商-2023年6月项目7</t>
  </si>
  <si>
    <t>支出</t>
  </si>
  <si>
    <t>营业外支出</t>
  </si>
  <si>
    <t>资产盘亏支出</t>
  </si>
  <si>
    <t>广州区域</t>
  </si>
  <si>
    <t>已支付</t>
  </si>
  <si>
    <t>未开票</t>
  </si>
  <si>
    <t>张三</t>
  </si>
  <si>
    <t>张总</t>
  </si>
  <si>
    <t>资产盘亏支出相关支出，广州区域区域</t>
  </si>
  <si>
    <t>2023-06-23</t>
  </si>
  <si>
    <t>ToB SaaS业务</t>
  </si>
  <si>
    <t>行政部</t>
  </si>
  <si>
    <t>ToB SaaS-2023年6月项目9</t>
  </si>
  <si>
    <t>收入</t>
  </si>
  <si>
    <t>其他业务收入</t>
  </si>
  <si>
    <t>广告佣金收入</t>
  </si>
  <si>
    <t>杭州区域</t>
  </si>
  <si>
    <t>未回款</t>
  </si>
  <si>
    <t>部分开票</t>
  </si>
  <si>
    <t>孙七</t>
  </si>
  <si>
    <t>李总</t>
  </si>
  <si>
    <t>广告佣金收入相关收入，杭州区域区域</t>
  </si>
  <si>
    <t>2023-06-13</t>
  </si>
  <si>
    <t>智能硬件销售业务</t>
  </si>
  <si>
    <t>人事部</t>
  </si>
  <si>
    <t>智能硬件销售-2023年6月项目5</t>
  </si>
  <si>
    <t>收入</t>
  </si>
  <si>
    <t>主营业务收入</t>
  </si>
  <si>
    <t>电商销售收入</t>
  </si>
  <si>
    <t>北京区域</t>
  </si>
  <si>
    <t>已回款</t>
  </si>
  <si>
    <t>部分开票</t>
  </si>
  <si>
    <t>吴九</t>
  </si>
  <si>
    <t>陈总</t>
  </si>
  <si>
    <t>电商销售收入相关收入，北京区域区域</t>
  </si>
  <si>
    <t>2023-06-16</t>
  </si>
  <si>
    <t>定制化服务业务</t>
  </si>
  <si>
    <t>运营部</t>
  </si>
  <si>
    <t>定制化服务-2023年6月项目6</t>
  </si>
  <si>
    <t>支出</t>
  </si>
  <si>
    <t>营业外支出</t>
  </si>
  <si>
    <t>捐赠支出</t>
  </si>
  <si>
    <t>北京区域</t>
  </si>
  <si>
    <t>已支付</t>
  </si>
  <si>
    <t>已开票</t>
  </si>
  <si>
    <t>张三</t>
  </si>
  <si>
    <t>刘总</t>
  </si>
  <si>
    <t>捐赠支出相关支出，北京区域区域</t>
  </si>
  <si>
    <t>2023-06-10</t>
  </si>
  <si>
    <t>ToB SaaS业务</t>
  </si>
  <si>
    <t>行政部</t>
  </si>
  <si>
    <t>ToB SaaS-2023年6月项目4</t>
  </si>
  <si>
    <t>收入</t>
  </si>
  <si>
    <t>主营业务收入</t>
  </si>
  <si>
    <t>硬件销售收入</t>
  </si>
  <si>
    <t>武汉区域</t>
  </si>
  <si>
    <t>未回款</t>
  </si>
  <si>
    <t>部分开票</t>
  </si>
  <si>
    <t>孙七</t>
  </si>
  <si>
    <t>李总</t>
  </si>
  <si>
    <t>硬件销售收入相关收入，武汉区域区域</t>
  </si>
  <si>
    <t>2023-06-19</t>
  </si>
  <si>
    <t>ToB SaaS业务</t>
  </si>
  <si>
    <t>人事部</t>
  </si>
  <si>
    <t>ToB SaaS-2023年6月项目2</t>
  </si>
  <si>
    <t>收入</t>
  </si>
  <si>
    <t>其他业务收入</t>
  </si>
  <si>
    <t>场地租赁收入</t>
  </si>
  <si>
    <t>南京区域</t>
  </si>
  <si>
    <t>坏账</t>
  </si>
  <si>
    <t>部分开票</t>
  </si>
  <si>
    <t>郑十</t>
  </si>
  <si>
    <t>张总</t>
  </si>
  <si>
    <t>场地租赁收入相关收入，南京区域区域</t>
  </si>
  <si>
    <t>2023-06-21</t>
  </si>
  <si>
    <t>定制化服务业务</t>
  </si>
  <si>
    <t>销售部</t>
  </si>
  <si>
    <t>定制化服务-2023年6月项目6</t>
  </si>
  <si>
    <t>支出</t>
  </si>
  <si>
    <t>管理费用</t>
  </si>
  <si>
    <t>水电费</t>
  </si>
  <si>
    <t>杭州区域</t>
  </si>
  <si>
    <t>已支付</t>
  </si>
  <si>
    <t>未开票</t>
  </si>
  <si>
    <t>孙七</t>
  </si>
  <si>
    <t>陈总</t>
  </si>
  <si>
    <t>水电费相关支出，杭州区域区域</t>
  </si>
  <si>
    <t>2023-06-11</t>
  </si>
  <si>
    <t>定制化服务业务</t>
  </si>
  <si>
    <t>市场部</t>
  </si>
  <si>
    <t>定制化服务-2023年6月项目6</t>
  </si>
  <si>
    <t>支出</t>
  </si>
  <si>
    <t>财务费用</t>
  </si>
  <si>
    <t>汇兑损益</t>
  </si>
  <si>
    <t>成都区域</t>
  </si>
  <si>
    <t>已支付</t>
  </si>
  <si>
    <t>部分开票</t>
  </si>
  <si>
    <t>孙七</t>
  </si>
  <si>
    <t>李总</t>
  </si>
  <si>
    <t>汇兑损益相关支出，成都区域区域</t>
  </si>
  <si>
    <t>2023-06-03</t>
  </si>
  <si>
    <t>ToC电商业务</t>
  </si>
  <si>
    <t>运营部</t>
  </si>
  <si>
    <t>ToC电商-2023年6月项目1</t>
  </si>
  <si>
    <t>支出</t>
  </si>
  <si>
    <t>营业外支出</t>
  </si>
  <si>
    <t>捐赠支出</t>
  </si>
  <si>
    <t>广州区域</t>
  </si>
  <si>
    <t>已支付</t>
  </si>
  <si>
    <t>未开票</t>
  </si>
  <si>
    <t>周八</t>
  </si>
  <si>
    <t>王总</t>
  </si>
  <si>
    <t>捐赠支出相关支出，广州区域区域</t>
  </si>
  <si>
    <t>2023-06-23</t>
  </si>
  <si>
    <t>定制化服务业务</t>
  </si>
  <si>
    <t>运营部</t>
  </si>
  <si>
    <t>定制化服务-2023年6月项目7</t>
  </si>
  <si>
    <t>支出</t>
  </si>
  <si>
    <t>管理费用</t>
  </si>
  <si>
    <t>折旧摊销费</t>
  </si>
  <si>
    <t>南京区域</t>
  </si>
  <si>
    <t>已支付</t>
  </si>
  <si>
    <t>已开票</t>
  </si>
  <si>
    <t>郑十</t>
  </si>
  <si>
    <t>刘总</t>
  </si>
  <si>
    <t>折旧摊销费相关支出，南京区域区域</t>
  </si>
  <si>
    <t>2023-06-22</t>
  </si>
  <si>
    <t>ToC电商业务</t>
  </si>
  <si>
    <t>运营部</t>
  </si>
  <si>
    <t>ToC电商-2023年6月项目10</t>
  </si>
  <si>
    <t>收入</t>
  </si>
  <si>
    <t>其他业务收入</t>
  </si>
  <si>
    <t>场地租赁收入</t>
  </si>
  <si>
    <t>上海区域</t>
  </si>
  <si>
    <t>坏账</t>
  </si>
  <si>
    <t>未开票</t>
  </si>
  <si>
    <t>张三</t>
  </si>
  <si>
    <t>李总</t>
  </si>
  <si>
    <t>场地租赁收入相关收入，上海区域区域</t>
  </si>
  <si>
    <t>2023-06-18</t>
  </si>
  <si>
    <t>ToC电商业务</t>
  </si>
  <si>
    <t>人事部</t>
  </si>
  <si>
    <t>ToC电商-2023年6月项目1</t>
  </si>
  <si>
    <t>支出</t>
  </si>
  <si>
    <t>营业外支出</t>
  </si>
  <si>
    <t>资产盘亏支出</t>
  </si>
  <si>
    <t>成都区域</t>
  </si>
  <si>
    <t>已支付</t>
  </si>
  <si>
    <t>未开票</t>
  </si>
  <si>
    <t>郑十</t>
  </si>
  <si>
    <t>张总</t>
  </si>
  <si>
    <t>资产盘亏支出相关支出，成都区域区域</t>
  </si>
  <si>
    <t>2023-06-20</t>
  </si>
  <si>
    <t>定制化服务业务</t>
  </si>
  <si>
    <t>人事部</t>
  </si>
  <si>
    <t>定制化服务-2023年6月项目4</t>
  </si>
  <si>
    <t>收入</t>
  </si>
  <si>
    <t>其他业务收入</t>
  </si>
  <si>
    <t>广告佣金收入</t>
  </si>
  <si>
    <t>北京区域</t>
  </si>
  <si>
    <t>未回款</t>
  </si>
  <si>
    <t>发票作废</t>
  </si>
  <si>
    <t>郑十</t>
  </si>
  <si>
    <t>张总</t>
  </si>
  <si>
    <t>广告佣金收入相关收入，北京区域区域</t>
  </si>
  <si>
    <t>2023-06-07</t>
  </si>
  <si>
    <t>智能硬件销售业务</t>
  </si>
  <si>
    <t>市场部</t>
  </si>
  <si>
    <t>智能硬件销售-2023年6月项目5</t>
  </si>
  <si>
    <t>收入</t>
  </si>
  <si>
    <t>营业外收入</t>
  </si>
  <si>
    <t>资产盘盈收入</t>
  </si>
  <si>
    <t>成都区域</t>
  </si>
  <si>
    <t>坏账</t>
  </si>
  <si>
    <t>未开票</t>
  </si>
  <si>
    <t>郑十</t>
  </si>
  <si>
    <t>王总</t>
  </si>
  <si>
    <t>资产盘盈收入相关收入，成都区域区域</t>
  </si>
  <si>
    <t>2023-06-28</t>
  </si>
  <si>
    <t>ToB SaaS业务</t>
  </si>
  <si>
    <t>研发部</t>
  </si>
  <si>
    <t>ToB SaaS-2023年6月项目7</t>
  </si>
  <si>
    <t>支出</t>
  </si>
  <si>
    <t>管理费用</t>
  </si>
  <si>
    <t>水电费</t>
  </si>
  <si>
    <t>北京区域</t>
  </si>
  <si>
    <t>已支付</t>
  </si>
  <si>
    <t>部分开票</t>
  </si>
  <si>
    <t>王五</t>
  </si>
  <si>
    <t>王总</t>
  </si>
  <si>
    <t>水电费相关支出，北京区域区域</t>
  </si>
  <si>
    <t>2023-07-07</t>
  </si>
  <si>
    <t>智能硬件销售业务</t>
  </si>
  <si>
    <t>研发部</t>
  </si>
  <si>
    <t>智能硬件销售-2023年7月项目1</t>
  </si>
  <si>
    <t>收入</t>
  </si>
  <si>
    <t>其他业务收入</t>
  </si>
  <si>
    <t>场地租赁收入</t>
  </si>
  <si>
    <t>上海区域</t>
  </si>
  <si>
    <t>已回款</t>
  </si>
  <si>
    <t>部分开票</t>
  </si>
  <si>
    <t>王五</t>
  </si>
  <si>
    <t>李总</t>
  </si>
  <si>
    <t>场地租赁收入相关收入，上海区域区域</t>
  </si>
  <si>
    <t>2023-07-15</t>
  </si>
  <si>
    <t>智能硬件销售业务</t>
  </si>
  <si>
    <t>运营部</t>
  </si>
  <si>
    <t>智能硬件销售-2023年7月项目3</t>
  </si>
  <si>
    <t>收入</t>
  </si>
  <si>
    <t>其他业务收入</t>
  </si>
  <si>
    <t>场地租赁收入</t>
  </si>
  <si>
    <t>成都区域</t>
  </si>
  <si>
    <t>未回款</t>
  </si>
  <si>
    <t>发票作废</t>
  </si>
  <si>
    <t>赵六</t>
  </si>
  <si>
    <t>李总</t>
  </si>
  <si>
    <t>场地租赁收入相关收入，成都区域区域</t>
  </si>
  <si>
    <t>2023-07-24</t>
  </si>
  <si>
    <t>定制化服务业务</t>
  </si>
  <si>
    <t>财务部</t>
  </si>
  <si>
    <t>定制化服务-2023年7月项目3</t>
  </si>
  <si>
    <t>收入</t>
  </si>
  <si>
    <t>主营业务收入</t>
  </si>
  <si>
    <t>电商销售收入</t>
  </si>
  <si>
    <t>杭州区域</t>
  </si>
  <si>
    <t>部分回款</t>
  </si>
  <si>
    <t>部分开票</t>
  </si>
  <si>
    <t>李四</t>
  </si>
  <si>
    <t>王总</t>
  </si>
  <si>
    <t>电商销售收入相关收入，杭州区域区域</t>
  </si>
  <si>
    <t>2023-07-11</t>
  </si>
  <si>
    <t>智能硬件销售业务</t>
  </si>
  <si>
    <t>财务部</t>
  </si>
  <si>
    <t>智能硬件销售-2023年7月项目9</t>
  </si>
  <si>
    <t>支出</t>
  </si>
  <si>
    <t>管理费用</t>
  </si>
  <si>
    <t>房租物业费</t>
  </si>
  <si>
    <t>南京区域</t>
  </si>
  <si>
    <t>已支付</t>
  </si>
  <si>
    <t>已开票</t>
  </si>
  <si>
    <t>王五</t>
  </si>
  <si>
    <t>张总</t>
  </si>
  <si>
    <t>房租物业费相关支出，南京区域区域</t>
  </si>
  <si>
    <t>2023-07-25</t>
  </si>
  <si>
    <t>定制化服务业务</t>
  </si>
  <si>
    <t>销售部</t>
  </si>
  <si>
    <t>定制化服务-2023年7月项目6</t>
  </si>
  <si>
    <t>收入</t>
  </si>
  <si>
    <t>主营业务收入</t>
  </si>
  <si>
    <t>定制服务收入</t>
  </si>
  <si>
    <t>深圳区域</t>
  </si>
  <si>
    <t>坏账</t>
  </si>
  <si>
    <t>发票作废</t>
  </si>
  <si>
    <t>李四</t>
  </si>
  <si>
    <t>刘总</t>
  </si>
  <si>
    <t>定制服务收入相关收入，深圳区域区域</t>
  </si>
  <si>
    <t>2023-07-02</t>
  </si>
  <si>
    <t>ToC电商业务</t>
  </si>
  <si>
    <t>人事部</t>
  </si>
  <si>
    <t>ToC电商-2023年7月项目1</t>
  </si>
  <si>
    <t>支出</t>
  </si>
  <si>
    <t>销售费用</t>
  </si>
  <si>
    <t>差旅费</t>
  </si>
  <si>
    <t>上海区域</t>
  </si>
  <si>
    <t>已支付</t>
  </si>
  <si>
    <t>发票作废</t>
  </si>
  <si>
    <t>张三</t>
  </si>
  <si>
    <t>李总</t>
  </si>
  <si>
    <t>差旅费相关支出，上海区域区域</t>
  </si>
  <si>
    <t>2023-07-19</t>
  </si>
  <si>
    <t>ToB SaaS业务</t>
  </si>
  <si>
    <t>财务部</t>
  </si>
  <si>
    <t>ToB SaaS-2023年7月项目2</t>
  </si>
  <si>
    <t>支出</t>
  </si>
  <si>
    <t>营业外支出</t>
  </si>
  <si>
    <t>捐赠支出</t>
  </si>
  <si>
    <t>深圳区域</t>
  </si>
  <si>
    <t>已支付</t>
  </si>
  <si>
    <t>未开票</t>
  </si>
  <si>
    <t>张三</t>
  </si>
  <si>
    <t>刘总</t>
  </si>
  <si>
    <t>捐赠支出相关支出，深圳区域区域</t>
  </si>
  <si>
    <t>2023-07-01</t>
  </si>
  <si>
    <t>定制化服务业务</t>
  </si>
  <si>
    <t>行政部</t>
  </si>
  <si>
    <t>定制化服务-2023年7月项目4</t>
  </si>
  <si>
    <t>收入</t>
  </si>
  <si>
    <t>营业外收入</t>
  </si>
  <si>
    <t>政府补贴</t>
  </si>
  <si>
    <t>杭州区域</t>
  </si>
  <si>
    <t>未回款</t>
  </si>
  <si>
    <t>部分开票</t>
  </si>
  <si>
    <t>孙七</t>
  </si>
  <si>
    <t>陈总</t>
  </si>
  <si>
    <t>政府补贴相关收入，杭州区域区域</t>
  </si>
  <si>
    <t>2023-07-10</t>
  </si>
  <si>
    <t>ToC电商业务</t>
  </si>
  <si>
    <t>行政部</t>
  </si>
  <si>
    <t>ToC电商-2023年7月项目7</t>
  </si>
  <si>
    <t>收入</t>
  </si>
  <si>
    <t>其他业务收入</t>
  </si>
  <si>
    <t>场地租赁收入</t>
  </si>
  <si>
    <t>武汉区域</t>
  </si>
  <si>
    <t>坏账</t>
  </si>
  <si>
    <t>发票作废</t>
  </si>
  <si>
    <t>赵六</t>
  </si>
  <si>
    <t>陈总</t>
  </si>
  <si>
    <t>场地租赁收入相关收入，武汉区域区域</t>
  </si>
  <si>
    <t>2023-07-06</t>
  </si>
  <si>
    <t>定制化服务业务</t>
  </si>
  <si>
    <t>销售部</t>
  </si>
  <si>
    <t>定制化服务-2023年7月项目2</t>
  </si>
  <si>
    <t>收入</t>
  </si>
  <si>
    <t>其他业务收入</t>
  </si>
  <si>
    <t>场地租赁收入</t>
  </si>
  <si>
    <t>南京区域</t>
  </si>
  <si>
    <t>部分回款</t>
  </si>
  <si>
    <t>未开票</t>
  </si>
  <si>
    <t>张三</t>
  </si>
  <si>
    <t>刘总</t>
  </si>
  <si>
    <t>场地租赁收入相关收入，南京区域区域</t>
  </si>
  <si>
    <t>2023-07-16</t>
  </si>
  <si>
    <t>定制化服务业务</t>
  </si>
  <si>
    <t>财务部</t>
  </si>
  <si>
    <t>定制化服务-2023年7月项目1</t>
  </si>
  <si>
    <t>收入</t>
  </si>
  <si>
    <t>营业外收入</t>
  </si>
  <si>
    <t>资产盘盈收入</t>
  </si>
  <si>
    <t>杭州区域</t>
  </si>
  <si>
    <t>部分回款</t>
  </si>
  <si>
    <t>未开票</t>
  </si>
  <si>
    <t>张三</t>
  </si>
  <si>
    <t>王总</t>
  </si>
  <si>
    <t>资产盘盈收入相关收入，杭州区域区域</t>
  </si>
  <si>
    <t>2023-07-04</t>
  </si>
  <si>
    <t>ToC电商业务</t>
  </si>
  <si>
    <t>财务部</t>
  </si>
  <si>
    <t>ToC电商-2023年7月项目8</t>
  </si>
  <si>
    <t>收入</t>
  </si>
  <si>
    <t>主营业务收入</t>
  </si>
  <si>
    <t>SaaS订阅收入</t>
  </si>
  <si>
    <t>上海区域</t>
  </si>
  <si>
    <t>坏账</t>
  </si>
  <si>
    <t>部分开票</t>
  </si>
  <si>
    <t>李四</t>
  </si>
  <si>
    <t>王总</t>
  </si>
  <si>
    <t>SaaS订阅收入相关收入，上海区域区域</t>
  </si>
  <si>
    <t>2023-07-17</t>
  </si>
  <si>
    <t>ToC电商业务</t>
  </si>
  <si>
    <t>运营部</t>
  </si>
  <si>
    <t>ToC电商-2023年7月项目2</t>
  </si>
  <si>
    <t>支出</t>
  </si>
  <si>
    <t>财务费用</t>
  </si>
  <si>
    <t>利息支出</t>
  </si>
  <si>
    <t>深圳区域</t>
  </si>
  <si>
    <t>已支付</t>
  </si>
  <si>
    <t>未开票</t>
  </si>
  <si>
    <t>张三</t>
  </si>
  <si>
    <t>陈总</t>
  </si>
  <si>
    <t>利息支出相关支出，深圳区域区域</t>
  </si>
  <si>
    <t>2023-07-18</t>
  </si>
  <si>
    <t>定制化服务业务</t>
  </si>
  <si>
    <t>市场部</t>
  </si>
  <si>
    <t>定制化服务-2023年7月项目3</t>
  </si>
  <si>
    <t>收入</t>
  </si>
  <si>
    <t>营业外收入</t>
  </si>
  <si>
    <t>政府补贴</t>
  </si>
  <si>
    <t>成都区域</t>
  </si>
  <si>
    <t>坏账</t>
  </si>
  <si>
    <t>已开票</t>
  </si>
  <si>
    <t>张三</t>
  </si>
  <si>
    <t>王总</t>
  </si>
  <si>
    <t>政府补贴相关收入，成都区域区域</t>
  </si>
  <si>
    <t>2023-07-04</t>
  </si>
  <si>
    <t>ToC电商业务</t>
  </si>
  <si>
    <t>研发部</t>
  </si>
  <si>
    <t>ToC电商-2023年7月项目7</t>
  </si>
  <si>
    <t>收入</t>
  </si>
  <si>
    <t>其他业务收入</t>
  </si>
  <si>
    <t>场地租赁收入</t>
  </si>
  <si>
    <t>北京区域</t>
  </si>
  <si>
    <t>已回款</t>
  </si>
  <si>
    <t>部分开票</t>
  </si>
  <si>
    <t>王五</t>
  </si>
  <si>
    <t>陈总</t>
  </si>
  <si>
    <t>场地租赁收入相关收入，北京区域区域</t>
  </si>
  <si>
    <t>2023-08-24</t>
  </si>
  <si>
    <t>智能硬件销售业务</t>
  </si>
  <si>
    <t>销售部</t>
  </si>
  <si>
    <t>智能硬件销售-2023年8月项目8</t>
  </si>
  <si>
    <t>支出</t>
  </si>
  <si>
    <t>管理费用</t>
  </si>
  <si>
    <t>水电费</t>
  </si>
  <si>
    <t>杭州区域</t>
  </si>
  <si>
    <t>已支付</t>
  </si>
  <si>
    <t>部分开票</t>
  </si>
  <si>
    <t>孙七</t>
  </si>
  <si>
    <t>刘总</t>
  </si>
  <si>
    <t>水电费相关支出，杭州区域区域</t>
  </si>
  <si>
    <t>2023-08-18</t>
  </si>
  <si>
    <t>智能硬件销售业务</t>
  </si>
  <si>
    <t>行政部</t>
  </si>
  <si>
    <t>智能硬件销售-2023年8月项目6</t>
  </si>
  <si>
    <t>收入</t>
  </si>
  <si>
    <t>主营业务收入</t>
  </si>
  <si>
    <t>硬件销售收入</t>
  </si>
  <si>
    <t>深圳区域</t>
  </si>
  <si>
    <t>部分回款</t>
  </si>
  <si>
    <t>部分开票</t>
  </si>
  <si>
    <t>郑十</t>
  </si>
  <si>
    <t>陈总</t>
  </si>
  <si>
    <t>硬件销售收入相关收入，深圳区域区域</t>
  </si>
  <si>
    <t>2023-08-24</t>
  </si>
  <si>
    <t>定制化服务业务</t>
  </si>
  <si>
    <t>市场部</t>
  </si>
  <si>
    <t>定制化服务-2023年8月项目7</t>
  </si>
  <si>
    <t>支出</t>
  </si>
  <si>
    <t>销售费用</t>
  </si>
  <si>
    <t>业务招待费</t>
  </si>
  <si>
    <t>深圳区域</t>
  </si>
  <si>
    <t>已支付</t>
  </si>
  <si>
    <t>未开票</t>
  </si>
  <si>
    <t>张三</t>
  </si>
  <si>
    <t>陈总</t>
  </si>
  <si>
    <t>业务招待费相关支出，深圳区域区域</t>
  </si>
  <si>
    <t>2023-08-16</t>
  </si>
  <si>
    <t>智能硬件销售业务</t>
  </si>
  <si>
    <t>研发部</t>
  </si>
  <si>
    <t>智能硬件销售-2023年8月项目1</t>
  </si>
  <si>
    <t>收入</t>
  </si>
  <si>
    <t>主营业务收入</t>
  </si>
  <si>
    <t>电商销售收入</t>
  </si>
  <si>
    <t>上海区域</t>
  </si>
  <si>
    <t>未回款</t>
  </si>
  <si>
    <t>部分开票</t>
  </si>
  <si>
    <t>孙七</t>
  </si>
  <si>
    <t>李总</t>
  </si>
  <si>
    <t>电商销售收入相关收入，上海区域区域</t>
  </si>
  <si>
    <t>2023-08-11</t>
  </si>
  <si>
    <t>定制化服务业务</t>
  </si>
  <si>
    <t>人事部</t>
  </si>
  <si>
    <t>定制化服务-2023年8月项目9</t>
  </si>
  <si>
    <t>收入</t>
  </si>
  <si>
    <t>营业外收入</t>
  </si>
  <si>
    <t>违约金收入</t>
  </si>
  <si>
    <t>北京区域</t>
  </si>
  <si>
    <t>部分回款</t>
  </si>
  <si>
    <t>未开票</t>
  </si>
  <si>
    <t>赵六</t>
  </si>
  <si>
    <t>刘总</t>
  </si>
  <si>
    <t>违约金收入相关收入，北京区域区域</t>
  </si>
  <si>
    <t>2023-08-03</t>
  </si>
  <si>
    <t>定制化服务业务</t>
  </si>
  <si>
    <t>销售部</t>
  </si>
  <si>
    <t>定制化服务-2023年8月项目5</t>
  </si>
  <si>
    <t>收入</t>
  </si>
  <si>
    <t>主营业务收入</t>
  </si>
  <si>
    <t>硬件销售收入</t>
  </si>
  <si>
    <t>杭州区域</t>
  </si>
  <si>
    <t>部分回款</t>
  </si>
  <si>
    <t>发票作废</t>
  </si>
  <si>
    <t>王五</t>
  </si>
  <si>
    <t>陈总</t>
  </si>
  <si>
    <t>硬件销售收入相关收入，杭州区域区域</t>
  </si>
  <si>
    <t>2023-08-21</t>
  </si>
  <si>
    <t>ToB SaaS业务</t>
  </si>
  <si>
    <t>财务部</t>
  </si>
  <si>
    <t>ToB SaaS-2023年8月项目2</t>
  </si>
  <si>
    <t>收入</t>
  </si>
  <si>
    <t>营业外收入</t>
  </si>
  <si>
    <t>政府补贴</t>
  </si>
  <si>
    <t>成都区域</t>
  </si>
  <si>
    <t>已回款</t>
  </si>
  <si>
    <t>未开票</t>
  </si>
  <si>
    <t>王五</t>
  </si>
  <si>
    <t>李总</t>
  </si>
  <si>
    <t>政府补贴相关收入，成都区域区域</t>
  </si>
  <si>
    <t>2023-08-02</t>
  </si>
  <si>
    <t>ToB SaaS业务</t>
  </si>
  <si>
    <t>人事部</t>
  </si>
  <si>
    <t>ToB SaaS-2023年8月项目8</t>
  </si>
  <si>
    <t>收入</t>
  </si>
  <si>
    <t>其他业务收入</t>
  </si>
  <si>
    <t>广告佣金收入</t>
  </si>
  <si>
    <t>深圳区域</t>
  </si>
  <si>
    <t>已回款</t>
  </si>
  <si>
    <t>已开票</t>
  </si>
  <si>
    <t>赵六</t>
  </si>
  <si>
    <t>李总</t>
  </si>
  <si>
    <t>广告佣金收入相关收入，深圳区域区域</t>
  </si>
  <si>
    <t>2023-08-02</t>
  </si>
  <si>
    <t>定制化服务业务</t>
  </si>
  <si>
    <t>行政部</t>
  </si>
  <si>
    <t>定制化服务-2023年8月项目2</t>
  </si>
  <si>
    <t>支出</t>
  </si>
  <si>
    <t>营业外支出</t>
  </si>
  <si>
    <t>捐赠支出</t>
  </si>
  <si>
    <t>杭州区域</t>
  </si>
  <si>
    <t>已支付</t>
  </si>
  <si>
    <t>部分开票</t>
  </si>
  <si>
    <t>郑十</t>
  </si>
  <si>
    <t>王总</t>
  </si>
  <si>
    <t>捐赠支出相关支出，杭州区域区域</t>
  </si>
  <si>
    <t>2023-08-13</t>
  </si>
  <si>
    <t>定制化服务业务</t>
  </si>
  <si>
    <t>销售部</t>
  </si>
  <si>
    <t>定制化服务-2023年8月项目2</t>
  </si>
  <si>
    <t>收入</t>
  </si>
  <si>
    <t>营业外收入</t>
  </si>
  <si>
    <t>资产盘盈收入</t>
  </si>
  <si>
    <t>上海区域</t>
  </si>
  <si>
    <t>坏账</t>
  </si>
  <si>
    <t>发票作废</t>
  </si>
  <si>
    <t>孙七</t>
  </si>
  <si>
    <t>王总</t>
  </si>
  <si>
    <t>资产盘盈收入相关收入，上海区域区域</t>
  </si>
  <si>
    <t>2023-08-18</t>
  </si>
  <si>
    <t>智能硬件销售业务</t>
  </si>
  <si>
    <t>研发部</t>
  </si>
  <si>
    <t>智能硬件销售-2023年8月项目3</t>
  </si>
  <si>
    <t>支出</t>
  </si>
  <si>
    <t>营业外支出</t>
  </si>
  <si>
    <t>资产盘亏支出</t>
  </si>
  <si>
    <t>北京区域</t>
  </si>
  <si>
    <t>已支付</t>
  </si>
  <si>
    <t>未开票</t>
  </si>
  <si>
    <t>李四</t>
  </si>
  <si>
    <t>张总</t>
  </si>
  <si>
    <t>资产盘亏支出相关支出，北京区域区域</t>
  </si>
  <si>
    <t>2023-08-13</t>
  </si>
  <si>
    <t>ToB SaaS业务</t>
  </si>
  <si>
    <t>销售部</t>
  </si>
  <si>
    <t>ToB SaaS-2023年8月项目3</t>
  </si>
  <si>
    <t>支出</t>
  </si>
  <si>
    <t>研发费用</t>
  </si>
  <si>
    <t>测试验收费</t>
  </si>
  <si>
    <t>广州区域</t>
  </si>
  <si>
    <t>已支付</t>
  </si>
  <si>
    <t>部分开票</t>
  </si>
  <si>
    <t>赵六</t>
  </si>
  <si>
    <t>李总</t>
  </si>
  <si>
    <t>测试验收费相关支出，广州区域区域</t>
  </si>
  <si>
    <t>2023-08-28</t>
  </si>
  <si>
    <t>智能硬件销售业务</t>
  </si>
  <si>
    <t>人事部</t>
  </si>
  <si>
    <t>智能硬件销售-2023年8月项目6</t>
  </si>
  <si>
    <t>收入</t>
  </si>
  <si>
    <t>主营业务收入</t>
  </si>
  <si>
    <t>SaaS订阅收入</t>
  </si>
  <si>
    <t>广州区域</t>
  </si>
  <si>
    <t>已回款</t>
  </si>
  <si>
    <t>未开票</t>
  </si>
  <si>
    <t>李四</t>
  </si>
  <si>
    <t>刘总</t>
  </si>
  <si>
    <t>SaaS订阅收入相关收入，广州区域区域</t>
  </si>
  <si>
    <t>2023-08-21</t>
  </si>
  <si>
    <t>智能硬件销售业务</t>
  </si>
  <si>
    <t>销售部</t>
  </si>
  <si>
    <t>智能硬件销售-2023年8月项目10</t>
  </si>
  <si>
    <t>支出</t>
  </si>
  <si>
    <t>主营业务成本</t>
  </si>
  <si>
    <t>技术服务成本</t>
  </si>
  <si>
    <t>南京区域</t>
  </si>
  <si>
    <t>已支付</t>
  </si>
  <si>
    <t>部分开票</t>
  </si>
  <si>
    <t>郑十</t>
  </si>
  <si>
    <t>陈总</t>
  </si>
  <si>
    <t>技术服务成本相关支出，南京区域区域</t>
  </si>
  <si>
    <t>2023-08-05</t>
  </si>
  <si>
    <t>ToC电商业务</t>
  </si>
  <si>
    <t>人事部</t>
  </si>
  <si>
    <t>ToC电商-2023年8月项目3</t>
  </si>
  <si>
    <t>收入</t>
  </si>
  <si>
    <t>主营业务收入</t>
  </si>
  <si>
    <t>硬件销售收入</t>
  </si>
  <si>
    <t>杭州区域</t>
  </si>
  <si>
    <t>已回款</t>
  </si>
  <si>
    <t>未开票</t>
  </si>
  <si>
    <t>李四</t>
  </si>
  <si>
    <t>王总</t>
  </si>
  <si>
    <t>硬件销售收入相关收入，杭州区域区域</t>
  </si>
  <si>
    <t>2023-09-24</t>
  </si>
  <si>
    <t>定制化服务业务</t>
  </si>
  <si>
    <t>行政部</t>
  </si>
  <si>
    <t>定制化服务-2023年9月项目10</t>
  </si>
  <si>
    <t>支出</t>
  </si>
  <si>
    <t>营业外支出</t>
  </si>
  <si>
    <t>资产盘亏支出</t>
  </si>
  <si>
    <t>杭州区域</t>
  </si>
  <si>
    <t>已支付</t>
  </si>
  <si>
    <t>发票作废</t>
  </si>
  <si>
    <t>张三</t>
  </si>
  <si>
    <t>张总</t>
  </si>
  <si>
    <t>资产盘亏支出相关支出，杭州区域区域</t>
  </si>
  <si>
    <t>2023-09-20</t>
  </si>
  <si>
    <t>定制化服务业务</t>
  </si>
  <si>
    <t>销售部</t>
  </si>
  <si>
    <t>定制化服务-2023年9月项目3</t>
  </si>
  <si>
    <t>收入</t>
  </si>
  <si>
    <t>主营业务收入</t>
  </si>
  <si>
    <t>电商销售收入</t>
  </si>
  <si>
    <t>武汉区域</t>
  </si>
  <si>
    <t>已回款</t>
  </si>
  <si>
    <t>部分开票</t>
  </si>
  <si>
    <t>郑十</t>
  </si>
  <si>
    <t>陈总</t>
  </si>
  <si>
    <t>电商销售收入相关收入，武汉区域区域</t>
  </si>
  <si>
    <t>2023-09-18</t>
  </si>
  <si>
    <t>智能硬件销售业务</t>
  </si>
  <si>
    <t>财务部</t>
  </si>
  <si>
    <t>智能硬件销售-2023年9月项目9</t>
  </si>
  <si>
    <t>支出</t>
  </si>
  <si>
    <t>销售费用</t>
  </si>
  <si>
    <t>业务招待费</t>
  </si>
  <si>
    <t>杭州区域</t>
  </si>
  <si>
    <t>已支付</t>
  </si>
  <si>
    <t>已开票</t>
  </si>
  <si>
    <t>吴九</t>
  </si>
  <si>
    <t>陈总</t>
  </si>
  <si>
    <t>业务招待费相关支出，杭州区域区域</t>
  </si>
  <si>
    <t>2023-09-01</t>
  </si>
  <si>
    <t>智能硬件销售业务</t>
  </si>
  <si>
    <t>市场部</t>
  </si>
  <si>
    <t>智能硬件销售-2023年9月项目4</t>
  </si>
  <si>
    <t>收入</t>
  </si>
  <si>
    <t>主营业务收入</t>
  </si>
  <si>
    <t>硬件销售收入</t>
  </si>
  <si>
    <t>深圳区域</t>
  </si>
  <si>
    <t>已回款</t>
  </si>
  <si>
    <t>部分开票</t>
  </si>
  <si>
    <t>王五</t>
  </si>
  <si>
    <t>陈总</t>
  </si>
  <si>
    <t>硬件销售收入相关收入，深圳区域区域</t>
  </si>
  <si>
    <t>2023-09-03</t>
  </si>
  <si>
    <t>定制化服务业务</t>
  </si>
  <si>
    <t>人事部</t>
  </si>
  <si>
    <t>定制化服务-2023年9月项目10</t>
  </si>
  <si>
    <t>支出</t>
  </si>
  <si>
    <t>销售费用</t>
  </si>
  <si>
    <t>市场推广费</t>
  </si>
  <si>
    <t>成都区域</t>
  </si>
  <si>
    <t>已支付</t>
  </si>
  <si>
    <t>未开票</t>
  </si>
  <si>
    <t>赵六</t>
  </si>
  <si>
    <t>张总</t>
  </si>
  <si>
    <t>市场推广费相关支出，成都区域区域</t>
  </si>
  <si>
    <t>2023-09-08</t>
  </si>
  <si>
    <t>定制化服务业务</t>
  </si>
  <si>
    <t>运营部</t>
  </si>
  <si>
    <t>定制化服务-2023年9月项目3</t>
  </si>
  <si>
    <t>收入</t>
  </si>
  <si>
    <t>营业外收入</t>
  </si>
  <si>
    <t>政府补贴</t>
  </si>
  <si>
    <t>广州区域</t>
  </si>
  <si>
    <t>已回款</t>
  </si>
  <si>
    <t>部分开票</t>
  </si>
  <si>
    <t>张三</t>
  </si>
  <si>
    <t>李总</t>
  </si>
  <si>
    <t>政府补贴相关收入，广州区域区域</t>
  </si>
  <si>
    <t>2023-09-21</t>
  </si>
  <si>
    <t>ToC电商业务</t>
  </si>
  <si>
    <t>研发部</t>
  </si>
  <si>
    <t>ToC电商-2023年9月项目6</t>
  </si>
  <si>
    <t>支出</t>
  </si>
  <si>
    <t>营业外支出</t>
  </si>
  <si>
    <t>捐赠支出</t>
  </si>
  <si>
    <t>杭州区域</t>
  </si>
  <si>
    <t>已支付</t>
  </si>
  <si>
    <t>已开票</t>
  </si>
  <si>
    <t>王五</t>
  </si>
  <si>
    <t>陈总</t>
  </si>
  <si>
    <t>捐赠支出相关支出，杭州区域区域</t>
  </si>
  <si>
    <t>2023-09-08</t>
  </si>
  <si>
    <t>定制化服务业务</t>
  </si>
  <si>
    <t>人事部</t>
  </si>
  <si>
    <t>定制化服务-2023年9月项目6</t>
  </si>
  <si>
    <t>收入</t>
  </si>
  <si>
    <t>主营业务收入</t>
  </si>
  <si>
    <t>SaaS订阅收入</t>
  </si>
  <si>
    <t>武汉区域</t>
  </si>
  <si>
    <t>未回款</t>
  </si>
  <si>
    <t>发票作废</t>
  </si>
  <si>
    <t>王五</t>
  </si>
  <si>
    <t>刘总</t>
  </si>
  <si>
    <t>SaaS订阅收入相关收入，武汉区域区域</t>
  </si>
  <si>
    <t>2023-09-02</t>
  </si>
  <si>
    <t>定制化服务业务</t>
  </si>
  <si>
    <t>人事部</t>
  </si>
  <si>
    <t>定制化服务-2023年9月项目5</t>
  </si>
  <si>
    <t>收入</t>
  </si>
  <si>
    <t>营业外收入</t>
  </si>
  <si>
    <t>资产盘盈收入</t>
  </si>
  <si>
    <t>上海区域</t>
  </si>
  <si>
    <t>坏账</t>
  </si>
  <si>
    <t>发票作废</t>
  </si>
  <si>
    <t>赵六</t>
  </si>
  <si>
    <t>李总</t>
  </si>
  <si>
    <t>资产盘盈收入相关收入，上海区域区域</t>
  </si>
  <si>
    <t>2023-09-16</t>
  </si>
  <si>
    <t>定制化服务业务</t>
  </si>
  <si>
    <t>运营部</t>
  </si>
  <si>
    <t>定制化服务-2023年9月项目4</t>
  </si>
  <si>
    <t>收入</t>
  </si>
  <si>
    <t>营业外收入</t>
  </si>
  <si>
    <t>政府补贴</t>
  </si>
  <si>
    <t>武汉区域</t>
  </si>
  <si>
    <t>坏账</t>
  </si>
  <si>
    <t>部分开票</t>
  </si>
  <si>
    <t>孙七</t>
  </si>
  <si>
    <t>刘总</t>
  </si>
  <si>
    <t>政府补贴相关收入，武汉区域区域</t>
  </si>
  <si>
    <t>2023-09-12</t>
  </si>
  <si>
    <t>定制化服务业务</t>
  </si>
  <si>
    <t>财务部</t>
  </si>
  <si>
    <t>定制化服务-2023年9月项目6</t>
  </si>
  <si>
    <t>支出</t>
  </si>
  <si>
    <t>财务费用</t>
  </si>
  <si>
    <t>利息支出</t>
  </si>
  <si>
    <t>上海区域</t>
  </si>
  <si>
    <t>已支付</t>
  </si>
  <si>
    <t>部分开票</t>
  </si>
  <si>
    <t>孙七</t>
  </si>
  <si>
    <t>李总</t>
  </si>
  <si>
    <t>利息支出相关支出，上海区域区域</t>
  </si>
  <si>
    <t>2023-09-06</t>
  </si>
  <si>
    <t>智能硬件销售业务</t>
  </si>
  <si>
    <t>人事部</t>
  </si>
  <si>
    <t>智能硬件销售-2023年9月项目5</t>
  </si>
  <si>
    <t>支出</t>
  </si>
  <si>
    <t>主营业务成本</t>
  </si>
  <si>
    <t>硬件生产成本</t>
  </si>
  <si>
    <t>杭州区域</t>
  </si>
  <si>
    <t>已支付</t>
  </si>
  <si>
    <t>发票作废</t>
  </si>
  <si>
    <t>王五</t>
  </si>
  <si>
    <t>李总</t>
  </si>
  <si>
    <t>硬件生产成本相关支出，杭州区域区域</t>
  </si>
  <si>
    <t>2023-09-09</t>
  </si>
  <si>
    <t>定制化服务业务</t>
  </si>
  <si>
    <t>运营部</t>
  </si>
  <si>
    <t>定制化服务-2023年9月项目9</t>
  </si>
  <si>
    <t>支出</t>
  </si>
  <si>
    <t>研发费用</t>
  </si>
  <si>
    <t>研发人员薪酬</t>
  </si>
  <si>
    <t>成都区域</t>
  </si>
  <si>
    <t>已支付</t>
  </si>
  <si>
    <t>未开票</t>
  </si>
  <si>
    <t>周八</t>
  </si>
  <si>
    <t>王总</t>
  </si>
  <si>
    <t>研发人员薪酬相关支出，成都区域区域</t>
  </si>
  <si>
    <t>2023-09-07</t>
  </si>
  <si>
    <t>定制化服务业务</t>
  </si>
  <si>
    <t>销售部</t>
  </si>
  <si>
    <t>定制化服务-2023年9月项目6</t>
  </si>
  <si>
    <t>支出</t>
  </si>
  <si>
    <t>销售费用</t>
  </si>
  <si>
    <t>业务招待费</t>
  </si>
  <si>
    <t>南京区域</t>
  </si>
  <si>
    <t>已支付</t>
  </si>
  <si>
    <t>已开票</t>
  </si>
  <si>
    <t>王五</t>
  </si>
  <si>
    <t>陈总</t>
  </si>
  <si>
    <t>业务招待费相关支出，南京区域区域</t>
  </si>
  <si>
    <t>2023-09-08</t>
  </si>
  <si>
    <t>ToB SaaS业务</t>
  </si>
  <si>
    <t>研发部</t>
  </si>
  <si>
    <t>ToB SaaS-2023年9月项目7</t>
  </si>
  <si>
    <t>收入</t>
  </si>
  <si>
    <t>营业外收入</t>
  </si>
  <si>
    <t>政府补贴</t>
  </si>
  <si>
    <t>上海区域</t>
  </si>
  <si>
    <t>坏账</t>
  </si>
  <si>
    <t>发票作废</t>
  </si>
  <si>
    <t>吴九</t>
  </si>
  <si>
    <t>张总</t>
  </si>
  <si>
    <t>政府补贴相关收入，上海区域区域</t>
  </si>
  <si>
    <t>2023-10-22</t>
  </si>
  <si>
    <t>智能硬件销售业务</t>
  </si>
  <si>
    <t>销售部</t>
  </si>
  <si>
    <t>智能硬件销售-2023年10月项目7</t>
  </si>
  <si>
    <t>支出</t>
  </si>
  <si>
    <t>销售费用</t>
  </si>
  <si>
    <t>销售人员薪酬</t>
  </si>
  <si>
    <t>北京区域</t>
  </si>
  <si>
    <t>已支付</t>
  </si>
  <si>
    <t>已开票</t>
  </si>
  <si>
    <t>张三</t>
  </si>
  <si>
    <t>刘总</t>
  </si>
  <si>
    <t>销售人员薪酬相关支出，北京区域区域</t>
  </si>
  <si>
    <t>2023-10-04</t>
  </si>
  <si>
    <t>ToC电商业务</t>
  </si>
  <si>
    <t>销售部</t>
  </si>
  <si>
    <t>ToC电商-2023年10月项目7</t>
  </si>
  <si>
    <t>支出</t>
  </si>
  <si>
    <t>研发费用</t>
  </si>
  <si>
    <t>测试验收费</t>
  </si>
  <si>
    <t>深圳区域</t>
  </si>
  <si>
    <t>已支付</t>
  </si>
  <si>
    <t>未开票</t>
  </si>
  <si>
    <t>王五</t>
  </si>
  <si>
    <t>王总</t>
  </si>
  <si>
    <t>测试验收费相关支出，深圳区域区域</t>
  </si>
  <si>
    <t>2023-10-12</t>
  </si>
  <si>
    <t>ToC电商业务</t>
  </si>
  <si>
    <t>行政部</t>
  </si>
  <si>
    <t>ToC电商-2023年10月项目8</t>
  </si>
  <si>
    <t>收入</t>
  </si>
  <si>
    <t>营业外收入</t>
  </si>
  <si>
    <t>违约金收入</t>
  </si>
  <si>
    <t>武汉区域</t>
  </si>
  <si>
    <t>部分回款</t>
  </si>
  <si>
    <t>已开票</t>
  </si>
  <si>
    <t>赵六</t>
  </si>
  <si>
    <t>李总</t>
  </si>
  <si>
    <t>违约金收入相关收入，武汉区域区域</t>
  </si>
  <si>
    <t>2023-10-17</t>
  </si>
  <si>
    <t>定制化服务业务</t>
  </si>
  <si>
    <t>销售部</t>
  </si>
  <si>
    <t>定制化服务-2023年10月项目4</t>
  </si>
  <si>
    <t>支出</t>
  </si>
  <si>
    <t>管理费用</t>
  </si>
  <si>
    <t>折旧摊销费</t>
  </si>
  <si>
    <t>广州区域</t>
  </si>
  <si>
    <t>已支付</t>
  </si>
  <si>
    <t>未开票</t>
  </si>
  <si>
    <t>郑十</t>
  </si>
  <si>
    <t>王总</t>
  </si>
  <si>
    <t>折旧摊销费相关支出，广州区域区域</t>
  </si>
  <si>
    <t>2023-10-24</t>
  </si>
  <si>
    <t>定制化服务业务</t>
  </si>
  <si>
    <t>人事部</t>
  </si>
  <si>
    <t>定制化服务-2023年10月项目6</t>
  </si>
  <si>
    <t>收入</t>
  </si>
  <si>
    <t>营业外收入</t>
  </si>
  <si>
    <t>违约金收入</t>
  </si>
  <si>
    <t>南京区域</t>
  </si>
  <si>
    <t>未回款</t>
  </si>
  <si>
    <t>未开票</t>
  </si>
  <si>
    <t>赵六</t>
  </si>
  <si>
    <t>张总</t>
  </si>
  <si>
    <t>违约金收入相关收入，南京区域区域</t>
  </si>
  <si>
    <t>2023-10-28</t>
  </si>
  <si>
    <t>ToC电商业务</t>
  </si>
  <si>
    <t>市场部</t>
  </si>
  <si>
    <t>ToC电商-2023年10月项目5</t>
  </si>
  <si>
    <t>收入</t>
  </si>
  <si>
    <t>其他业务收入</t>
  </si>
  <si>
    <t>广告佣金收入</t>
  </si>
  <si>
    <t>杭州区域</t>
  </si>
  <si>
    <t>已回款</t>
  </si>
  <si>
    <t>部分开票</t>
  </si>
  <si>
    <t>周八</t>
  </si>
  <si>
    <t>刘总</t>
  </si>
  <si>
    <t>广告佣金收入相关收入，杭州区域区域</t>
  </si>
  <si>
    <t>2023-10-24</t>
  </si>
  <si>
    <t>ToB SaaS业务</t>
  </si>
  <si>
    <t>财务部</t>
  </si>
  <si>
    <t>ToB SaaS-2023年10月项目6</t>
  </si>
  <si>
    <t>支出</t>
  </si>
  <si>
    <t>销售费用</t>
  </si>
  <si>
    <t>渠道佣金</t>
  </si>
  <si>
    <t>北京区域</t>
  </si>
  <si>
    <t>已支付</t>
  </si>
  <si>
    <t>已开票</t>
  </si>
  <si>
    <t>周八</t>
  </si>
  <si>
    <t>陈总</t>
  </si>
  <si>
    <t>渠道佣金相关支出，北京区域区域</t>
  </si>
  <si>
    <t>2023-10-23</t>
  </si>
  <si>
    <t>智能硬件销售业务</t>
  </si>
  <si>
    <t>市场部</t>
  </si>
  <si>
    <t>智能硬件销售-2023年10月项目8</t>
  </si>
  <si>
    <t>支出</t>
  </si>
  <si>
    <t>研发费用</t>
  </si>
  <si>
    <t>测试验收费</t>
  </si>
  <si>
    <t>广州区域</t>
  </si>
  <si>
    <t>已支付</t>
  </si>
  <si>
    <t>部分开票</t>
  </si>
  <si>
    <t>吴九</t>
  </si>
  <si>
    <t>李总</t>
  </si>
  <si>
    <t>测试验收费相关支出，广州区域区域</t>
  </si>
  <si>
    <t>2023-10-16</t>
  </si>
  <si>
    <t>ToB SaaS业务</t>
  </si>
  <si>
    <t>销售部</t>
  </si>
  <si>
    <t>ToB SaaS-2023年10月项目6</t>
  </si>
  <si>
    <t>支出</t>
  </si>
  <si>
    <t>主营业务成本</t>
  </si>
  <si>
    <t>物流配送成本</t>
  </si>
  <si>
    <t>上海区域</t>
  </si>
  <si>
    <t>已支付</t>
  </si>
  <si>
    <t>发票作废</t>
  </si>
  <si>
    <t>周八</t>
  </si>
  <si>
    <t>刘总</t>
  </si>
  <si>
    <t>物流配送成本相关支出，上海区域区域</t>
  </si>
  <si>
    <t>2023-10-05</t>
  </si>
  <si>
    <t>智能硬件销售业务</t>
  </si>
  <si>
    <t>研发部</t>
  </si>
  <si>
    <t>智能硬件销售-2023年10月项目9</t>
  </si>
  <si>
    <t>支出</t>
  </si>
  <si>
    <t>研发费用</t>
  </si>
  <si>
    <t>测试验收费</t>
  </si>
  <si>
    <t>上海区域</t>
  </si>
  <si>
    <t>已支付</t>
  </si>
  <si>
    <t>未开票</t>
  </si>
  <si>
    <t>赵六</t>
  </si>
  <si>
    <t>张总</t>
  </si>
  <si>
    <t>测试验收费相关支出，上海区域区域</t>
  </si>
  <si>
    <t>2023-10-01</t>
  </si>
  <si>
    <t>智能硬件销售业务</t>
  </si>
  <si>
    <t>销售部</t>
  </si>
  <si>
    <t>智能硬件销售-2023年10月项目4</t>
  </si>
  <si>
    <t>收入</t>
  </si>
  <si>
    <t>营业外收入</t>
  </si>
  <si>
    <t>资产盘盈收入</t>
  </si>
  <si>
    <t>北京区域</t>
  </si>
  <si>
    <t>已回款</t>
  </si>
  <si>
    <t>部分开票</t>
  </si>
  <si>
    <t>张三</t>
  </si>
  <si>
    <t>李总</t>
  </si>
  <si>
    <t>资产盘盈收入相关收入，北京区域区域</t>
  </si>
  <si>
    <t>2023-10-10</t>
  </si>
  <si>
    <t>定制化服务业务</t>
  </si>
  <si>
    <t>行政部</t>
  </si>
  <si>
    <t>定制化服务-2023年10月项目6</t>
  </si>
  <si>
    <t>支出</t>
  </si>
  <si>
    <t>管理费用</t>
  </si>
  <si>
    <t>折旧摊销费</t>
  </si>
  <si>
    <t>深圳区域</t>
  </si>
  <si>
    <t>已支付</t>
  </si>
  <si>
    <t>未开票</t>
  </si>
  <si>
    <t>张三</t>
  </si>
  <si>
    <t>刘总</t>
  </si>
  <si>
    <t>折旧摊销费相关支出，深圳区域区域</t>
  </si>
  <si>
    <t>2023-10-23</t>
  </si>
  <si>
    <t>ToB SaaS业务</t>
  </si>
  <si>
    <t>市场部</t>
  </si>
  <si>
    <t>ToB SaaS-2023年10月项目8</t>
  </si>
  <si>
    <t>支出</t>
  </si>
  <si>
    <t>销售费用</t>
  </si>
  <si>
    <t>销售人员薪酬</t>
  </si>
  <si>
    <t>广州区域</t>
  </si>
  <si>
    <t>已支付</t>
  </si>
  <si>
    <t>部分开票</t>
  </si>
  <si>
    <t>吴九</t>
  </si>
  <si>
    <t>陈总</t>
  </si>
  <si>
    <t>销售人员薪酬相关支出，广州区域区域</t>
  </si>
  <si>
    <t>2023-10-08</t>
  </si>
  <si>
    <t>ToC电商业务</t>
  </si>
  <si>
    <t>财务部</t>
  </si>
  <si>
    <t>ToC电商-2023年10月项目10</t>
  </si>
  <si>
    <t>收入</t>
  </si>
  <si>
    <t>营业外收入</t>
  </si>
  <si>
    <t>政府补贴</t>
  </si>
  <si>
    <t>武汉区域</t>
  </si>
  <si>
    <t>坏账</t>
  </si>
  <si>
    <t>未开票</t>
  </si>
  <si>
    <t>王五</t>
  </si>
  <si>
    <t>陈总</t>
  </si>
  <si>
    <t>政府补贴相关收入，武汉区域区域</t>
  </si>
  <si>
    <t>2023-10-10</t>
  </si>
  <si>
    <t>ToC电商业务</t>
  </si>
  <si>
    <t>市场部</t>
  </si>
  <si>
    <t>ToC电商-2023年10月项目3</t>
  </si>
  <si>
    <t>收入</t>
  </si>
  <si>
    <t>营业外收入</t>
  </si>
  <si>
    <t>政府补贴</t>
  </si>
  <si>
    <t>北京区域</t>
  </si>
  <si>
    <t>部分回款</t>
  </si>
  <si>
    <t>发票作废</t>
  </si>
  <si>
    <t>吴九</t>
  </si>
  <si>
    <t>王总</t>
  </si>
  <si>
    <t>政府补贴相关收入，北京区域区域</t>
  </si>
  <si>
    <t>2023-11-04</t>
  </si>
  <si>
    <t>ToC电商业务</t>
  </si>
  <si>
    <t>销售部</t>
  </si>
  <si>
    <t>ToC电商-2023年11月项目2</t>
  </si>
  <si>
    <t>支出</t>
  </si>
  <si>
    <t>营业外支出</t>
  </si>
  <si>
    <t>资产盘亏支出</t>
  </si>
  <si>
    <t>武汉区域</t>
  </si>
  <si>
    <t>已支付</t>
  </si>
  <si>
    <t>部分开票</t>
  </si>
  <si>
    <t>张三</t>
  </si>
  <si>
    <t>王总</t>
  </si>
  <si>
    <t>资产盘亏支出相关支出，武汉区域区域</t>
  </si>
  <si>
    <t>2023-11-14</t>
  </si>
  <si>
    <t>ToC电商业务</t>
  </si>
  <si>
    <t>运营部</t>
  </si>
  <si>
    <t>ToC电商-2023年11月项目8</t>
  </si>
  <si>
    <t>收入</t>
  </si>
  <si>
    <t>营业外收入</t>
  </si>
  <si>
    <t>资产盘盈收入</t>
  </si>
  <si>
    <t>南京区域</t>
  </si>
  <si>
    <t>未回款</t>
  </si>
  <si>
    <t>已开票</t>
  </si>
  <si>
    <t>吴九</t>
  </si>
  <si>
    <t>陈总</t>
  </si>
  <si>
    <t>资产盘盈收入相关收入，南京区域区域</t>
  </si>
  <si>
    <t>2023-11-06</t>
  </si>
  <si>
    <t>ToB SaaS业务</t>
  </si>
  <si>
    <t>市场部</t>
  </si>
  <si>
    <t>ToB SaaS-2023年11月项目4</t>
  </si>
  <si>
    <t>收入</t>
  </si>
  <si>
    <t>其他业务收入</t>
  </si>
  <si>
    <t>技术服务费收入</t>
  </si>
  <si>
    <t>北京区域</t>
  </si>
  <si>
    <t>坏账</t>
  </si>
  <si>
    <t>已开票</t>
  </si>
  <si>
    <t>赵六</t>
  </si>
  <si>
    <t>王总</t>
  </si>
  <si>
    <t>技术服务费收入相关收入，北京区域区域</t>
  </si>
  <si>
    <t>2023-11-03</t>
  </si>
  <si>
    <t>ToC电商业务</t>
  </si>
  <si>
    <t>市场部</t>
  </si>
  <si>
    <t>ToC电商-2023年11月项目8</t>
  </si>
  <si>
    <t>收入</t>
  </si>
  <si>
    <t>营业外收入</t>
  </si>
  <si>
    <t>资产盘盈收入</t>
  </si>
  <si>
    <t>南京区域</t>
  </si>
  <si>
    <t>已回款</t>
  </si>
  <si>
    <t>未开票</t>
  </si>
  <si>
    <t>孙七</t>
  </si>
  <si>
    <t>王总</t>
  </si>
  <si>
    <t>资产盘盈收入相关收入，南京区域区域</t>
  </si>
  <si>
    <t>2023-11-17</t>
  </si>
  <si>
    <t>智能硬件销售业务</t>
  </si>
  <si>
    <t>财务部</t>
  </si>
  <si>
    <t>智能硬件销售-2023年11月项目1</t>
  </si>
  <si>
    <t>收入</t>
  </si>
  <si>
    <t>主营业务收入</t>
  </si>
  <si>
    <t>SaaS订阅收入</t>
  </si>
  <si>
    <t>南京区域</t>
  </si>
  <si>
    <t>已回款</t>
  </si>
  <si>
    <t>发票作废</t>
  </si>
  <si>
    <t>周八</t>
  </si>
  <si>
    <t>刘总</t>
  </si>
  <si>
    <t>SaaS订阅收入相关收入，南京区域区域</t>
  </si>
  <si>
    <t>2023-11-25</t>
  </si>
  <si>
    <t>ToB SaaS业务</t>
  </si>
  <si>
    <t>人事部</t>
  </si>
  <si>
    <t>ToB SaaS-2023年11月项目5</t>
  </si>
  <si>
    <t>支出</t>
  </si>
  <si>
    <t>主营业务成本</t>
  </si>
  <si>
    <t>商品采购成本</t>
  </si>
  <si>
    <t>深圳区域</t>
  </si>
  <si>
    <t>已支付</t>
  </si>
  <si>
    <t>已开票</t>
  </si>
  <si>
    <t>周八</t>
  </si>
  <si>
    <t>李总</t>
  </si>
  <si>
    <t>商品采购成本相关支出，深圳区域区域</t>
  </si>
  <si>
    <t>2023-11-06</t>
  </si>
  <si>
    <t>定制化服务业务</t>
  </si>
  <si>
    <t>人事部</t>
  </si>
  <si>
    <t>定制化服务-2023年11月项目1</t>
  </si>
  <si>
    <t>支出</t>
  </si>
  <si>
    <t>财务费用</t>
  </si>
  <si>
    <t>利息支出</t>
  </si>
  <si>
    <t>上海区域</t>
  </si>
  <si>
    <t>已支付</t>
  </si>
  <si>
    <t>发票作废</t>
  </si>
  <si>
    <t>吴九</t>
  </si>
  <si>
    <t>陈总</t>
  </si>
  <si>
    <t>利息支出相关支出，上海区域区域</t>
  </si>
  <si>
    <t>2023-11-01</t>
  </si>
  <si>
    <t>ToC电商业务</t>
  </si>
  <si>
    <t>销售部</t>
  </si>
  <si>
    <t>ToC电商-2023年11月项目3</t>
  </si>
  <si>
    <t>收入</t>
  </si>
  <si>
    <t>主营业务收入</t>
  </si>
  <si>
    <t>硬件销售收入</t>
  </si>
  <si>
    <t>南京区域</t>
  </si>
  <si>
    <t>已回款</t>
  </si>
  <si>
    <t>已开票</t>
  </si>
  <si>
    <t>张三</t>
  </si>
  <si>
    <t>陈总</t>
  </si>
  <si>
    <t>硬件销售收入相关收入，南京区域区域</t>
  </si>
  <si>
    <t>2023-11-15</t>
  </si>
  <si>
    <t>ToC电商业务</t>
  </si>
  <si>
    <t>市场部</t>
  </si>
  <si>
    <t>ToC电商-2023年11月项目7</t>
  </si>
  <si>
    <t>支出</t>
  </si>
  <si>
    <t>营业外支出</t>
  </si>
  <si>
    <t>违约金支出</t>
  </si>
  <si>
    <t>成都区域</t>
  </si>
  <si>
    <t>已支付</t>
  </si>
  <si>
    <t>部分开票</t>
  </si>
  <si>
    <t>周八</t>
  </si>
  <si>
    <t>陈总</t>
  </si>
  <si>
    <t>违约金支出相关支出，成都区域区域</t>
  </si>
  <si>
    <t>2023-11-20</t>
  </si>
  <si>
    <t>定制化服务业务</t>
  </si>
  <si>
    <t>财务部</t>
  </si>
  <si>
    <t>定制化服务-2023年11月项目7</t>
  </si>
  <si>
    <t>收入</t>
  </si>
  <si>
    <t>其他业务收入</t>
  </si>
  <si>
    <t>场地租赁收入</t>
  </si>
  <si>
    <t>杭州区域</t>
  </si>
  <si>
    <t>坏账</t>
  </si>
  <si>
    <t>未开票</t>
  </si>
  <si>
    <t>王五</t>
  </si>
  <si>
    <t>张总</t>
  </si>
  <si>
    <t>场地租赁收入相关收入，杭州区域区域</t>
  </si>
  <si>
    <t>2023-11-05</t>
  </si>
  <si>
    <t>ToB SaaS业务</t>
  </si>
  <si>
    <t>研发部</t>
  </si>
  <si>
    <t>ToB SaaS-2023年11月项目5</t>
  </si>
  <si>
    <t>收入</t>
  </si>
  <si>
    <t>主营业务收入</t>
  </si>
  <si>
    <t>硬件销售收入</t>
  </si>
  <si>
    <t>深圳区域</t>
  </si>
  <si>
    <t>未回款</t>
  </si>
  <si>
    <t>未开票</t>
  </si>
  <si>
    <t>李四</t>
  </si>
  <si>
    <t>王总</t>
  </si>
  <si>
    <t>硬件销售收入相关收入，深圳区域区域</t>
  </si>
  <si>
    <t>2023-11-19</t>
  </si>
  <si>
    <t>定制化服务业务</t>
  </si>
  <si>
    <t>研发部</t>
  </si>
  <si>
    <t>定制化服务-2023年11月项目7</t>
  </si>
  <si>
    <t>支出</t>
  </si>
  <si>
    <t>研发费用</t>
  </si>
  <si>
    <t>研发人员薪酬</t>
  </si>
  <si>
    <t>北京区域</t>
  </si>
  <si>
    <t>已支付</t>
  </si>
  <si>
    <t>未开票</t>
  </si>
  <si>
    <t>赵六</t>
  </si>
  <si>
    <t>刘总</t>
  </si>
  <si>
    <t>研发人员薪酬相关支出，北京区域区域</t>
  </si>
  <si>
    <t>2023-11-03</t>
  </si>
  <si>
    <t>ToC电商业务</t>
  </si>
  <si>
    <t>研发部</t>
  </si>
  <si>
    <t>ToC电商-2023年11月项目1</t>
  </si>
  <si>
    <t>支出</t>
  </si>
  <si>
    <t>研发费用</t>
  </si>
  <si>
    <t>技术研发费</t>
  </si>
  <si>
    <t>武汉区域</t>
  </si>
  <si>
    <t>已支付</t>
  </si>
  <si>
    <t>部分开票</t>
  </si>
  <si>
    <t>王五</t>
  </si>
  <si>
    <t>李总</t>
  </si>
  <si>
    <t>技术研发费相关支出，武汉区域区域</t>
  </si>
  <si>
    <t>2023-11-03</t>
  </si>
  <si>
    <t>ToC电商业务</t>
  </si>
  <si>
    <t>财务部</t>
  </si>
  <si>
    <t>ToC电商-2023年11月项目1</t>
  </si>
  <si>
    <t>收入</t>
  </si>
  <si>
    <t>其他业务收入</t>
  </si>
  <si>
    <t>场地租赁收入</t>
  </si>
  <si>
    <t>武汉区域</t>
  </si>
  <si>
    <t>未回款</t>
  </si>
  <si>
    <t>部分开票</t>
  </si>
  <si>
    <t>王五</t>
  </si>
  <si>
    <t>刘总</t>
  </si>
  <si>
    <t>场地租赁收入相关收入，武汉区域区域</t>
  </si>
  <si>
    <t>2023-11-12</t>
  </si>
  <si>
    <t>定制化服务业务</t>
  </si>
  <si>
    <t>销售部</t>
  </si>
  <si>
    <t>定制化服务-2023年11月项目5</t>
  </si>
  <si>
    <t>收入</t>
  </si>
  <si>
    <t>营业外收入</t>
  </si>
  <si>
    <t>资产盘盈收入</t>
  </si>
  <si>
    <t>武汉区域</t>
  </si>
  <si>
    <t>已回款</t>
  </si>
  <si>
    <t>发票作废</t>
  </si>
  <si>
    <t>吴九</t>
  </si>
  <si>
    <t>陈总</t>
  </si>
  <si>
    <t>资产盘盈收入相关收入，武汉区域区域</t>
  </si>
  <si>
    <t>2023-12-16</t>
  </si>
  <si>
    <t>智能硬件销售业务</t>
  </si>
  <si>
    <t>财务部</t>
  </si>
  <si>
    <t>智能硬件销售-2023年12月项目4</t>
  </si>
  <si>
    <t>收入</t>
  </si>
  <si>
    <t>主营业务收入</t>
  </si>
  <si>
    <t>定制服务收入</t>
  </si>
  <si>
    <t>上海区域</t>
  </si>
  <si>
    <t>已回款</t>
  </si>
  <si>
    <t>发票作废</t>
  </si>
  <si>
    <t>吴九</t>
  </si>
  <si>
    <t>刘总</t>
  </si>
  <si>
    <t>定制服务收入相关收入，上海区域区域</t>
  </si>
  <si>
    <t>2023-12-20</t>
  </si>
  <si>
    <t>定制化服务业务</t>
  </si>
  <si>
    <t>销售部</t>
  </si>
  <si>
    <t>定制化服务-2023年12月项目8</t>
  </si>
  <si>
    <t>支出</t>
  </si>
  <si>
    <t>营业外支出</t>
  </si>
  <si>
    <t>资产盘亏支出</t>
  </si>
  <si>
    <t>北京区域</t>
  </si>
  <si>
    <t>已支付</t>
  </si>
  <si>
    <t>已开票</t>
  </si>
  <si>
    <t>孙七</t>
  </si>
  <si>
    <t>李总</t>
  </si>
  <si>
    <t>资产盘亏支出相关支出，北京区域区域</t>
  </si>
  <si>
    <t>2023-12-15</t>
  </si>
  <si>
    <t>智能硬件销售业务</t>
  </si>
  <si>
    <t>研发部</t>
  </si>
  <si>
    <t>智能硬件销售-2023年12月项目2</t>
  </si>
  <si>
    <t>收入</t>
  </si>
  <si>
    <t>营业外收入</t>
  </si>
  <si>
    <t>政府补贴</t>
  </si>
  <si>
    <t>深圳区域</t>
  </si>
  <si>
    <t>坏账</t>
  </si>
  <si>
    <t>部分开票</t>
  </si>
  <si>
    <t>周八</t>
  </si>
  <si>
    <t>李总</t>
  </si>
  <si>
    <t>政府补贴相关收入，深圳区域区域</t>
  </si>
  <si>
    <t>2023-12-14</t>
  </si>
  <si>
    <t>智能硬件销售业务</t>
  </si>
  <si>
    <t>行政部</t>
  </si>
  <si>
    <t>智能硬件销售-2023年12月项目6</t>
  </si>
  <si>
    <t>支出</t>
  </si>
  <si>
    <t>销售费用</t>
  </si>
  <si>
    <t>业务招待费</t>
  </si>
  <si>
    <t>杭州区域</t>
  </si>
  <si>
    <t>已支付</t>
  </si>
  <si>
    <t>未开票</t>
  </si>
  <si>
    <t>李四</t>
  </si>
  <si>
    <t>王总</t>
  </si>
  <si>
    <t>业务招待费相关支出，杭州区域区域</t>
  </si>
  <si>
    <t>2023-12-23</t>
  </si>
  <si>
    <t>ToC电商业务</t>
  </si>
  <si>
    <t>财务部</t>
  </si>
  <si>
    <t>ToC电商-2023年12月项目8</t>
  </si>
  <si>
    <t>收入</t>
  </si>
  <si>
    <t>营业外收入</t>
  </si>
  <si>
    <t>政府补贴</t>
  </si>
  <si>
    <t>武汉区域</t>
  </si>
  <si>
    <t>坏账</t>
  </si>
  <si>
    <t>发票作废</t>
  </si>
  <si>
    <t>郑十</t>
  </si>
  <si>
    <t>陈总</t>
  </si>
  <si>
    <t>政府补贴相关收入，武汉区域区域</t>
  </si>
  <si>
    <t>2023-12-02</t>
  </si>
  <si>
    <t>智能硬件销售业务</t>
  </si>
  <si>
    <t>研发部</t>
  </si>
  <si>
    <t>智能硬件销售-2023年12月项目5</t>
  </si>
  <si>
    <t>支出</t>
  </si>
  <si>
    <t>营业外支出</t>
  </si>
  <si>
    <t>捐赠支出</t>
  </si>
  <si>
    <t>深圳区域</t>
  </si>
  <si>
    <t>已支付</t>
  </si>
  <si>
    <t>部分开票</t>
  </si>
  <si>
    <t>郑十</t>
  </si>
  <si>
    <t>王总</t>
  </si>
  <si>
    <t>捐赠支出相关支出，深圳区域区域</t>
  </si>
  <si>
    <t>2023-12-17</t>
  </si>
  <si>
    <t>ToC电商业务</t>
  </si>
  <si>
    <t>运营部</t>
  </si>
  <si>
    <t>ToC电商-2023年12月项目6</t>
  </si>
  <si>
    <t>收入</t>
  </si>
  <si>
    <t>主营业务收入</t>
  </si>
  <si>
    <t>定制服务收入</t>
  </si>
  <si>
    <t>杭州区域</t>
  </si>
  <si>
    <t>部分回款</t>
  </si>
  <si>
    <t>已开票</t>
  </si>
  <si>
    <t>王五</t>
  </si>
  <si>
    <t>王总</t>
  </si>
  <si>
    <t>定制服务收入相关收入，杭州区域区域</t>
  </si>
  <si>
    <t>2023-12-15</t>
  </si>
  <si>
    <t>ToC电商业务</t>
  </si>
  <si>
    <t>运营部</t>
  </si>
  <si>
    <t>ToC电商-2023年12月项目3</t>
  </si>
  <si>
    <t>收入</t>
  </si>
  <si>
    <t>营业外收入</t>
  </si>
  <si>
    <t>资产盘盈收入</t>
  </si>
  <si>
    <t>南京区域</t>
  </si>
  <si>
    <t>未回款</t>
  </si>
  <si>
    <t>已开票</t>
  </si>
  <si>
    <t>郑十</t>
  </si>
  <si>
    <t>陈总</t>
  </si>
  <si>
    <t>资产盘盈收入相关收入，南京区域区域</t>
  </si>
  <si>
    <t>2023-12-24</t>
  </si>
  <si>
    <t>智能硬件销售业务</t>
  </si>
  <si>
    <t>销售部</t>
  </si>
  <si>
    <t>智能硬件销售-2023年12月项目10</t>
  </si>
  <si>
    <t>支出</t>
  </si>
  <si>
    <t>研发费用</t>
  </si>
  <si>
    <t>测试验收费</t>
  </si>
  <si>
    <t>广州区域</t>
  </si>
  <si>
    <t>已支付</t>
  </si>
  <si>
    <t>部分开票</t>
  </si>
  <si>
    <t>王五</t>
  </si>
  <si>
    <t>刘总</t>
  </si>
  <si>
    <t>测试验收费相关支出，广州区域区域</t>
  </si>
  <si>
    <t>2023-12-11</t>
  </si>
  <si>
    <t>智能硬件销售业务</t>
  </si>
  <si>
    <t>财务部</t>
  </si>
  <si>
    <t>智能硬件销售-2023年12月项目9</t>
  </si>
  <si>
    <t>支出</t>
  </si>
  <si>
    <t>研发费用</t>
  </si>
  <si>
    <t>技术研发费</t>
  </si>
  <si>
    <t>南京区域</t>
  </si>
  <si>
    <t>已支付</t>
  </si>
  <si>
    <t>未开票</t>
  </si>
  <si>
    <t>李四</t>
  </si>
  <si>
    <t>王总</t>
  </si>
  <si>
    <t>技术研发费相关支出，南京区域区域</t>
  </si>
  <si>
    <t>2023-12-23</t>
  </si>
  <si>
    <t>ToB SaaS业务</t>
  </si>
  <si>
    <t>行政部</t>
  </si>
  <si>
    <t>ToB SaaS-2023年12月项目3</t>
  </si>
  <si>
    <t>收入</t>
  </si>
  <si>
    <t>营业外收入</t>
  </si>
  <si>
    <t>政府补贴</t>
  </si>
  <si>
    <t>武汉区域</t>
  </si>
  <si>
    <t>部分回款</t>
  </si>
  <si>
    <t>已开票</t>
  </si>
  <si>
    <t>郑十</t>
  </si>
  <si>
    <t>李总</t>
  </si>
  <si>
    <t>政府补贴相关收入，武汉区域区域</t>
  </si>
  <si>
    <t>2023-12-25</t>
  </si>
  <si>
    <t>智能硬件销售业务</t>
  </si>
  <si>
    <t>人事部</t>
  </si>
  <si>
    <t>智能硬件销售-2023年12月项目1</t>
  </si>
  <si>
    <t>支出</t>
  </si>
  <si>
    <t>管理费用</t>
  </si>
  <si>
    <t>房租物业费</t>
  </si>
  <si>
    <t>南京区域</t>
  </si>
  <si>
    <t>已支付</t>
  </si>
  <si>
    <t>已开票</t>
  </si>
  <si>
    <t>赵六</t>
  </si>
  <si>
    <t>王总</t>
  </si>
  <si>
    <t>房租物业费相关支出，南京区域区域</t>
  </si>
  <si>
    <t>2023-12-06</t>
  </si>
  <si>
    <t>ToB SaaS业务</t>
  </si>
  <si>
    <t>研发部</t>
  </si>
  <si>
    <t>ToB SaaS-2023年12月项目6</t>
  </si>
  <si>
    <t>支出</t>
  </si>
  <si>
    <t>主营业务成本</t>
  </si>
  <si>
    <t>商品采购成本</t>
  </si>
  <si>
    <t>广州区域</t>
  </si>
  <si>
    <t>已支付</t>
  </si>
  <si>
    <t>已开票</t>
  </si>
  <si>
    <t>李四</t>
  </si>
  <si>
    <t>陈总</t>
  </si>
  <si>
    <t>商品采购成本相关支出，广州区域区域</t>
  </si>
  <si>
    <t>2023-12-21</t>
  </si>
  <si>
    <t>ToB SaaS业务</t>
  </si>
  <si>
    <t>市场部</t>
  </si>
  <si>
    <t>ToB SaaS-2023年12月项目2</t>
  </si>
  <si>
    <t>支出</t>
  </si>
  <si>
    <t>研发费用</t>
  </si>
  <si>
    <t>测试验收费</t>
  </si>
  <si>
    <t>成都区域</t>
  </si>
  <si>
    <t>已支付</t>
  </si>
  <si>
    <t>部分开票</t>
  </si>
  <si>
    <t>周八</t>
  </si>
  <si>
    <t>李总</t>
  </si>
  <si>
    <t>测试验收费相关支出，成都区域区域</t>
  </si>
  <si>
    <t>2023-12-13</t>
  </si>
  <si>
    <t>智能硬件销售业务</t>
  </si>
  <si>
    <t>市场部</t>
  </si>
  <si>
    <t>智能硬件销售-2023年12月项目2</t>
  </si>
  <si>
    <t>支出</t>
  </si>
  <si>
    <t>财务费用</t>
  </si>
  <si>
    <t>银行手续费</t>
  </si>
  <si>
    <t>广州区域</t>
  </si>
  <si>
    <t>已支付</t>
  </si>
  <si>
    <t>未开票</t>
  </si>
  <si>
    <t>吴九</t>
  </si>
  <si>
    <t>王总</t>
  </si>
  <si>
    <t>银行手续费相关支出，广州区域区域</t>
  </si>
  <si>
    <t>2024-01-03</t>
  </si>
  <si>
    <t>智能硬件销售业务</t>
  </si>
  <si>
    <t>市场部</t>
  </si>
  <si>
    <t>智能硬件销售-2024年1月项目9</t>
  </si>
  <si>
    <t>支出</t>
  </si>
  <si>
    <t>财务费用</t>
  </si>
  <si>
    <t>利息支出</t>
  </si>
  <si>
    <t>广州区域</t>
  </si>
  <si>
    <t>已支付</t>
  </si>
  <si>
    <t>发票作废</t>
  </si>
  <si>
    <t>王五</t>
  </si>
  <si>
    <t>李总</t>
  </si>
  <si>
    <t>利息支出相关支出，广州区域区域</t>
  </si>
  <si>
    <t>2024-01-13</t>
  </si>
  <si>
    <t>ToC电商业务</t>
  </si>
  <si>
    <t>研发部</t>
  </si>
  <si>
    <t>ToC电商-2024年1月项目10</t>
  </si>
  <si>
    <t>收入</t>
  </si>
  <si>
    <t>营业外收入</t>
  </si>
  <si>
    <t>政府补贴</t>
  </si>
  <si>
    <t>成都区域</t>
  </si>
  <si>
    <t>部分回款</t>
  </si>
  <si>
    <t>已开票</t>
  </si>
  <si>
    <t>王五</t>
  </si>
  <si>
    <t>李总</t>
  </si>
  <si>
    <t>政府补贴相关收入，成都区域区域</t>
  </si>
  <si>
    <t>2024-01-23</t>
  </si>
  <si>
    <t>ToB SaaS业务</t>
  </si>
  <si>
    <t>人事部</t>
  </si>
  <si>
    <t>ToB SaaS-2024年1月项目1</t>
  </si>
  <si>
    <t>支出</t>
  </si>
  <si>
    <t>营业外支出</t>
  </si>
  <si>
    <t>违约金支出</t>
  </si>
  <si>
    <t>北京区域</t>
  </si>
  <si>
    <t>已支付</t>
  </si>
  <si>
    <t>未开票</t>
  </si>
  <si>
    <t>李四</t>
  </si>
  <si>
    <t>张总</t>
  </si>
  <si>
    <t>违约金支出相关支出，北京区域区域</t>
  </si>
  <si>
    <t>2024-01-21</t>
  </si>
  <si>
    <t>智能硬件销售业务</t>
  </si>
  <si>
    <t>行政部</t>
  </si>
  <si>
    <t>智能硬件销售-2024年1月项目5</t>
  </si>
  <si>
    <t>支出</t>
  </si>
  <si>
    <t>研发费用</t>
  </si>
  <si>
    <t>研发人员薪酬</t>
  </si>
  <si>
    <t>上海区域</t>
  </si>
  <si>
    <t>已支付</t>
  </si>
  <si>
    <t>已开票</t>
  </si>
  <si>
    <t>吴九</t>
  </si>
  <si>
    <t>刘总</t>
  </si>
  <si>
    <t>研发人员薪酬相关支出，上海区域区域</t>
  </si>
  <si>
    <t>2024-01-20</t>
  </si>
  <si>
    <t>智能硬件销售业务</t>
  </si>
  <si>
    <t>行政部</t>
  </si>
  <si>
    <t>智能硬件销售-2024年1月项目6</t>
  </si>
  <si>
    <t>收入</t>
  </si>
  <si>
    <t>营业外收入</t>
  </si>
  <si>
    <t>资产盘盈收入</t>
  </si>
  <si>
    <t>上海区域</t>
  </si>
  <si>
    <t>未回款</t>
  </si>
  <si>
    <t>已开票</t>
  </si>
  <si>
    <t>赵六</t>
  </si>
  <si>
    <t>陈总</t>
  </si>
  <si>
    <t>资产盘盈收入相关收入，上海区域区域</t>
  </si>
  <si>
    <t>2024-01-02</t>
  </si>
  <si>
    <t>定制化服务业务</t>
  </si>
  <si>
    <t>运营部</t>
  </si>
  <si>
    <t>定制化服务-2024年1月项目8</t>
  </si>
  <si>
    <t>支出</t>
  </si>
  <si>
    <t>管理费用</t>
  </si>
  <si>
    <t>折旧摊销费</t>
  </si>
  <si>
    <t>杭州区域</t>
  </si>
  <si>
    <t>已支付</t>
  </si>
  <si>
    <t>部分开票</t>
  </si>
  <si>
    <t>王五</t>
  </si>
  <si>
    <t>李总</t>
  </si>
  <si>
    <t>折旧摊销费相关支出，杭州区域区域</t>
  </si>
  <si>
    <t>2024-01-03</t>
  </si>
  <si>
    <t>ToC电商业务</t>
  </si>
  <si>
    <t>销售部</t>
  </si>
  <si>
    <t>ToC电商-2024年1月项目1</t>
  </si>
  <si>
    <t>支出</t>
  </si>
  <si>
    <t>管理费用</t>
  </si>
  <si>
    <t>房租物业费</t>
  </si>
  <si>
    <t>武汉区域</t>
  </si>
  <si>
    <t>已支付</t>
  </si>
  <si>
    <t>发票作废</t>
  </si>
  <si>
    <t>吴九</t>
  </si>
  <si>
    <t>张总</t>
  </si>
  <si>
    <t>房租物业费相关支出，武汉区域区域</t>
  </si>
  <si>
    <t>2024-01-24</t>
  </si>
  <si>
    <t>定制化服务业务</t>
  </si>
  <si>
    <t>行政部</t>
  </si>
  <si>
    <t>定制化服务-2024年1月项目5</t>
  </si>
  <si>
    <t>支出</t>
  </si>
  <si>
    <t>主营业务成本</t>
  </si>
  <si>
    <t>技术服务成本</t>
  </si>
  <si>
    <t>北京区域</t>
  </si>
  <si>
    <t>已支付</t>
  </si>
  <si>
    <t>部分开票</t>
  </si>
  <si>
    <t>张三</t>
  </si>
  <si>
    <t>张总</t>
  </si>
  <si>
    <t>技术服务成本相关支出，北京区域区域</t>
  </si>
  <si>
    <t>2024-01-01</t>
  </si>
  <si>
    <t>定制化服务业务</t>
  </si>
  <si>
    <t>销售部</t>
  </si>
  <si>
    <t>定制化服务-2024年1月项目4</t>
  </si>
  <si>
    <t>支出</t>
  </si>
  <si>
    <t>财务费用</t>
  </si>
  <si>
    <t>银行手续费</t>
  </si>
  <si>
    <t>武汉区域</t>
  </si>
  <si>
    <t>已支付</t>
  </si>
  <si>
    <t>发票作废</t>
  </si>
  <si>
    <t>吴九</t>
  </si>
  <si>
    <t>王总</t>
  </si>
  <si>
    <t>银行手续费相关支出，武汉区域区域</t>
  </si>
  <si>
    <t>2024-01-18</t>
  </si>
  <si>
    <t>定制化服务业务</t>
  </si>
  <si>
    <t>财务部</t>
  </si>
  <si>
    <t>定制化服务-2024年1月项目10</t>
  </si>
  <si>
    <t>收入</t>
  </si>
  <si>
    <t>主营业务收入</t>
  </si>
  <si>
    <t>SaaS订阅收入</t>
  </si>
  <si>
    <t>上海区域</t>
  </si>
  <si>
    <t>部分回款</t>
  </si>
  <si>
    <t>已开票</t>
  </si>
  <si>
    <t>郑十</t>
  </si>
  <si>
    <t>王总</t>
  </si>
  <si>
    <t>SaaS订阅收入相关收入，上海区域区域</t>
  </si>
  <si>
    <t>2024-01-03</t>
  </si>
  <si>
    <t>ToC电商业务</t>
  </si>
  <si>
    <t>市场部</t>
  </si>
  <si>
    <t>ToC电商-2024年1月项目6</t>
  </si>
  <si>
    <t>支出</t>
  </si>
  <si>
    <t>管理费用</t>
  </si>
  <si>
    <t>水电费</t>
  </si>
  <si>
    <t>深圳区域</t>
  </si>
  <si>
    <t>已支付</t>
  </si>
  <si>
    <t>部分开票</t>
  </si>
  <si>
    <t>李四</t>
  </si>
  <si>
    <t>陈总</t>
  </si>
  <si>
    <t>水电费相关支出，深圳区域区域</t>
  </si>
  <si>
    <t>2024-01-27</t>
  </si>
  <si>
    <t>ToC电商业务</t>
  </si>
  <si>
    <t>销售部</t>
  </si>
  <si>
    <t>ToC电商-2024年1月项目4</t>
  </si>
  <si>
    <t>收入</t>
  </si>
  <si>
    <t>主营业务收入</t>
  </si>
  <si>
    <t>SaaS订阅收入</t>
  </si>
  <si>
    <t>杭州区域</t>
  </si>
  <si>
    <t>坏账</t>
  </si>
  <si>
    <t>发票作废</t>
  </si>
  <si>
    <t>郑十</t>
  </si>
  <si>
    <t>陈总</t>
  </si>
  <si>
    <t>SaaS订阅收入相关收入，杭州区域区域</t>
  </si>
  <si>
    <t>2024-01-04</t>
  </si>
  <si>
    <t>ToC电商业务</t>
  </si>
  <si>
    <t>研发部</t>
  </si>
  <si>
    <t>ToC电商-2024年1月项目1</t>
  </si>
  <si>
    <t>收入</t>
  </si>
  <si>
    <t>其他业务收入</t>
  </si>
  <si>
    <t>广告佣金收入</t>
  </si>
  <si>
    <t>成都区域</t>
  </si>
  <si>
    <t>已回款</t>
  </si>
  <si>
    <t>已开票</t>
  </si>
  <si>
    <t>孙七</t>
  </si>
  <si>
    <t>刘总</t>
  </si>
  <si>
    <t>广告佣金收入相关收入，成都区域区域</t>
  </si>
  <si>
    <t>2024-01-16</t>
  </si>
  <si>
    <t>智能硬件销售业务</t>
  </si>
  <si>
    <t>市场部</t>
  </si>
  <si>
    <t>智能硬件销售-2024年1月项目1</t>
  </si>
  <si>
    <t>支出</t>
  </si>
  <si>
    <t>财务费用</t>
  </si>
  <si>
    <t>利息支出</t>
  </si>
  <si>
    <t>武汉区域</t>
  </si>
  <si>
    <t>已支付</t>
  </si>
  <si>
    <t>未开票</t>
  </si>
  <si>
    <t>张三</t>
  </si>
  <si>
    <t>王总</t>
  </si>
  <si>
    <t>利息支出相关支出，武汉区域区域</t>
  </si>
  <si>
    <t>2024-01-27</t>
  </si>
  <si>
    <t>定制化服务业务</t>
  </si>
  <si>
    <t>人事部</t>
  </si>
  <si>
    <t>定制化服务-2024年1月项目10</t>
  </si>
  <si>
    <t>支出</t>
  </si>
  <si>
    <t>财务费用</t>
  </si>
  <si>
    <t>汇兑损益</t>
  </si>
  <si>
    <t>广州区域</t>
  </si>
  <si>
    <t>已支付</t>
  </si>
  <si>
    <t>已开票</t>
  </si>
  <si>
    <t>周八</t>
  </si>
  <si>
    <t>李总</t>
  </si>
  <si>
    <t>汇兑损益相关支出，广州区域区域</t>
  </si>
  <si>
    <t>2024-02-20</t>
  </si>
  <si>
    <t>ToC电商业务</t>
  </si>
  <si>
    <t>财务部</t>
  </si>
  <si>
    <t>ToC电商-2024年2月项目7</t>
  </si>
  <si>
    <t>收入</t>
  </si>
  <si>
    <t>营业外收入</t>
  </si>
  <si>
    <t>资产盘盈收入</t>
  </si>
  <si>
    <t>成都区域</t>
  </si>
  <si>
    <t>已回款</t>
  </si>
  <si>
    <t>已开票</t>
  </si>
  <si>
    <t>吴九</t>
  </si>
  <si>
    <t>陈总</t>
  </si>
  <si>
    <t>资产盘盈收入相关收入，成都区域区域</t>
  </si>
  <si>
    <t>2024-02-09</t>
  </si>
  <si>
    <t>定制化服务业务</t>
  </si>
  <si>
    <t>财务部</t>
  </si>
  <si>
    <t>定制化服务-2024年2月项目7</t>
  </si>
  <si>
    <t>支出</t>
  </si>
  <si>
    <t>营业外支出</t>
  </si>
  <si>
    <t>资产盘亏支出</t>
  </si>
  <si>
    <t>上海区域</t>
  </si>
  <si>
    <t>已支付</t>
  </si>
  <si>
    <t>已开票</t>
  </si>
  <si>
    <t>王五</t>
  </si>
  <si>
    <t>张总</t>
  </si>
  <si>
    <t>资产盘亏支出相关支出，上海区域区域</t>
  </si>
  <si>
    <t>2024-02-23</t>
  </si>
  <si>
    <t>智能硬件销售业务</t>
  </si>
  <si>
    <t>销售部</t>
  </si>
  <si>
    <t>智能硬件销售-2024年2月项目7</t>
  </si>
  <si>
    <t>收入</t>
  </si>
  <si>
    <t>主营业务收入</t>
  </si>
  <si>
    <t>定制服务收入</t>
  </si>
  <si>
    <t>上海区域</t>
  </si>
  <si>
    <t>部分回款</t>
  </si>
  <si>
    <t>部分开票</t>
  </si>
  <si>
    <t>孙七</t>
  </si>
  <si>
    <t>李总</t>
  </si>
  <si>
    <t>定制服务收入相关收入，上海区域区域</t>
  </si>
  <si>
    <t>2024-02-06</t>
  </si>
  <si>
    <t>ToC电商业务</t>
  </si>
  <si>
    <t>研发部</t>
  </si>
  <si>
    <t>ToC电商-2024年2月项目5</t>
  </si>
  <si>
    <t>支出</t>
  </si>
  <si>
    <t>营业外支出</t>
  </si>
  <si>
    <t>资产盘亏支出</t>
  </si>
  <si>
    <t>广州区域</t>
  </si>
  <si>
    <t>已支付</t>
  </si>
  <si>
    <t>已开票</t>
  </si>
  <si>
    <t>王五</t>
  </si>
  <si>
    <t>陈总</t>
  </si>
  <si>
    <t>资产盘亏支出相关支出，广州区域区域</t>
  </si>
  <si>
    <t>2024-02-24</t>
  </si>
  <si>
    <t>ToC电商业务</t>
  </si>
  <si>
    <t>销售部</t>
  </si>
  <si>
    <t>ToC电商-2024年2月项目1</t>
  </si>
  <si>
    <t>收入</t>
  </si>
  <si>
    <t>营业外收入</t>
  </si>
  <si>
    <t>政府补贴</t>
  </si>
  <si>
    <t>北京区域</t>
  </si>
  <si>
    <t>部分回款</t>
  </si>
  <si>
    <t>已开票</t>
  </si>
  <si>
    <t>李四</t>
  </si>
  <si>
    <t>李总</t>
  </si>
  <si>
    <t>政府补贴相关收入，北京区域区域</t>
  </si>
  <si>
    <t>2024-02-07</t>
  </si>
  <si>
    <t>ToB SaaS业务</t>
  </si>
  <si>
    <t>市场部</t>
  </si>
  <si>
    <t>ToB SaaS-2024年2月项目10</t>
  </si>
  <si>
    <t>支出</t>
  </si>
  <si>
    <t>主营业务成本</t>
  </si>
  <si>
    <t>物流配送成本</t>
  </si>
  <si>
    <t>广州区域</t>
  </si>
  <si>
    <t>已支付</t>
  </si>
  <si>
    <t>已开票</t>
  </si>
  <si>
    <t>吴九</t>
  </si>
  <si>
    <t>刘总</t>
  </si>
  <si>
    <t>物流配送成本相关支出，广州区域区域</t>
  </si>
  <si>
    <t>2024-02-23</t>
  </si>
  <si>
    <t>定制化服务业务</t>
  </si>
  <si>
    <t>研发部</t>
  </si>
  <si>
    <t>定制化服务-2024年2月项目7</t>
  </si>
  <si>
    <t>支出</t>
  </si>
  <si>
    <t>管理费用</t>
  </si>
  <si>
    <t>房租物业费</t>
  </si>
  <si>
    <t>成都区域</t>
  </si>
  <si>
    <t>已支付</t>
  </si>
  <si>
    <t>部分开票</t>
  </si>
  <si>
    <t>周八</t>
  </si>
  <si>
    <t>陈总</t>
  </si>
  <si>
    <t>房租物业费相关支出，成都区域区域</t>
  </si>
  <si>
    <t>2024-02-02</t>
  </si>
  <si>
    <t>ToB SaaS业务</t>
  </si>
  <si>
    <t>行政部</t>
  </si>
  <si>
    <t>ToB SaaS-2024年2月项目2</t>
  </si>
  <si>
    <t>收入</t>
  </si>
  <si>
    <t>营业外收入</t>
  </si>
  <si>
    <t>违约金收入</t>
  </si>
  <si>
    <t>武汉区域</t>
  </si>
  <si>
    <t>部分回款</t>
  </si>
  <si>
    <t>已开票</t>
  </si>
  <si>
    <t>赵六</t>
  </si>
  <si>
    <t>王总</t>
  </si>
  <si>
    <t>违约金收入相关收入，武汉区域区域</t>
  </si>
  <si>
    <t>2024-02-15</t>
  </si>
  <si>
    <t>ToB SaaS业务</t>
  </si>
  <si>
    <t>行政部</t>
  </si>
  <si>
    <t>ToB SaaS-2024年2月项目2</t>
  </si>
  <si>
    <t>支出</t>
  </si>
  <si>
    <t>主营业务成本</t>
  </si>
  <si>
    <t>商品采购成本</t>
  </si>
  <si>
    <t>成都区域</t>
  </si>
  <si>
    <t>已支付</t>
  </si>
  <si>
    <t>部分开票</t>
  </si>
  <si>
    <t>赵六</t>
  </si>
  <si>
    <t>刘总</t>
  </si>
  <si>
    <t>商品采购成本相关支出，成都区域区域</t>
  </si>
  <si>
    <t>2024-02-18</t>
  </si>
  <si>
    <t>ToC电商业务</t>
  </si>
  <si>
    <t>人事部</t>
  </si>
  <si>
    <t>ToC电商-2024年2月项目9</t>
  </si>
  <si>
    <t>收入</t>
  </si>
  <si>
    <t>主营业务收入</t>
  </si>
  <si>
    <t>SaaS订阅收入</t>
  </si>
  <si>
    <t>上海区域</t>
  </si>
  <si>
    <t>坏账</t>
  </si>
  <si>
    <t>部分开票</t>
  </si>
  <si>
    <t>王五</t>
  </si>
  <si>
    <t>李总</t>
  </si>
  <si>
    <t>SaaS订阅收入相关收入，上海区域区域</t>
  </si>
  <si>
    <t>2024-02-27</t>
  </si>
  <si>
    <t>定制化服务业务</t>
  </si>
  <si>
    <t>研发部</t>
  </si>
  <si>
    <t>定制化服务-2024年2月项目3</t>
  </si>
  <si>
    <t>支出</t>
  </si>
  <si>
    <t>主营业务成本</t>
  </si>
  <si>
    <t>物流配送成本</t>
  </si>
  <si>
    <t>上海区域</t>
  </si>
  <si>
    <t>已支付</t>
  </si>
  <si>
    <t>部分开票</t>
  </si>
  <si>
    <t>吴九</t>
  </si>
  <si>
    <t>王总</t>
  </si>
  <si>
    <t>物流配送成本相关支出，上海区域区域</t>
  </si>
  <si>
    <t>2024-02-10</t>
  </si>
  <si>
    <t>定制化服务业务</t>
  </si>
  <si>
    <t>市场部</t>
  </si>
  <si>
    <t>定制化服务-2024年2月项目6</t>
  </si>
  <si>
    <t>支出</t>
  </si>
  <si>
    <t>研发费用</t>
  </si>
  <si>
    <t>设备采购费</t>
  </si>
  <si>
    <t>上海区域</t>
  </si>
  <si>
    <t>已支付</t>
  </si>
  <si>
    <t>发票作废</t>
  </si>
  <si>
    <t>王五</t>
  </si>
  <si>
    <t>王总</t>
  </si>
  <si>
    <t>设备采购费相关支出，上海区域区域</t>
  </si>
  <si>
    <t>2024-02-21</t>
  </si>
  <si>
    <t>定制化服务业务</t>
  </si>
  <si>
    <t>运营部</t>
  </si>
  <si>
    <t>定制化服务-2024年2月项目4</t>
  </si>
  <si>
    <t>收入</t>
  </si>
  <si>
    <t>其他业务收入</t>
  </si>
  <si>
    <t>场地租赁收入</t>
  </si>
  <si>
    <t>上海区域</t>
  </si>
  <si>
    <t>部分回款</t>
  </si>
  <si>
    <t>部分开票</t>
  </si>
  <si>
    <t>张三</t>
  </si>
  <si>
    <t>李总</t>
  </si>
  <si>
    <t>场地租赁收入相关收入，上海区域区域</t>
  </si>
  <si>
    <t>2024-02-02</t>
  </si>
  <si>
    <t>ToC电商业务</t>
  </si>
  <si>
    <t>财务部</t>
  </si>
  <si>
    <t>ToC电商-2024年2月项目9</t>
  </si>
  <si>
    <t>收入</t>
  </si>
  <si>
    <t>主营业务收入</t>
  </si>
  <si>
    <t>硬件销售收入</t>
  </si>
  <si>
    <t>南京区域</t>
  </si>
  <si>
    <t>未回款</t>
  </si>
  <si>
    <t>发票作废</t>
  </si>
  <si>
    <t>赵六</t>
  </si>
  <si>
    <t>刘总</t>
  </si>
  <si>
    <t>硬件销售收入相关收入，南京区域区域</t>
  </si>
  <si>
    <t>2024-02-02</t>
  </si>
  <si>
    <t>ToC电商业务</t>
  </si>
  <si>
    <t>市场部</t>
  </si>
  <si>
    <t>ToC电商-2024年2月项目4</t>
  </si>
  <si>
    <t>支出</t>
  </si>
  <si>
    <t>管理费用</t>
  </si>
  <si>
    <t>办公费</t>
  </si>
  <si>
    <t>成都区域</t>
  </si>
  <si>
    <t>已支付</t>
  </si>
  <si>
    <t>已开票</t>
  </si>
  <si>
    <t>李四</t>
  </si>
  <si>
    <t>王总</t>
  </si>
  <si>
    <t>办公费相关支出，成都区域区域</t>
  </si>
  <si>
    <t>2024-03-04</t>
  </si>
  <si>
    <t>智能硬件销售业务</t>
  </si>
  <si>
    <t>销售部</t>
  </si>
  <si>
    <t>智能硬件销售-2024年3月项目6</t>
  </si>
  <si>
    <t>收入</t>
  </si>
  <si>
    <t>主营业务收入</t>
  </si>
  <si>
    <t>定制服务收入</t>
  </si>
  <si>
    <t>南京区域</t>
  </si>
  <si>
    <t>部分回款</t>
  </si>
  <si>
    <t>部分开票</t>
  </si>
  <si>
    <t>郑十</t>
  </si>
  <si>
    <t>张总</t>
  </si>
  <si>
    <t>定制服务收入相关收入，南京区域区域</t>
  </si>
  <si>
    <t>2024-03-07</t>
  </si>
  <si>
    <t>智能硬件销售业务</t>
  </si>
  <si>
    <t>运营部</t>
  </si>
  <si>
    <t>智能硬件销售-2024年3月项目5</t>
  </si>
  <si>
    <t>收入</t>
  </si>
  <si>
    <t>其他业务收入</t>
  </si>
  <si>
    <t>场地租赁收入</t>
  </si>
  <si>
    <t>武汉区域</t>
  </si>
  <si>
    <t>部分回款</t>
  </si>
  <si>
    <t>部分开票</t>
  </si>
  <si>
    <t>吴九</t>
  </si>
  <si>
    <t>李总</t>
  </si>
  <si>
    <t>场地租赁收入相关收入，武汉区域区域</t>
  </si>
  <si>
    <t>2024-03-25</t>
  </si>
  <si>
    <t>智能硬件销售业务</t>
  </si>
  <si>
    <t>行政部</t>
  </si>
  <si>
    <t>智能硬件销售-2024年3月项目4</t>
  </si>
  <si>
    <t>支出</t>
  </si>
  <si>
    <t>管理费用</t>
  </si>
  <si>
    <t>房租物业费</t>
  </si>
  <si>
    <t>上海区域</t>
  </si>
  <si>
    <t>已支付</t>
  </si>
  <si>
    <t>未开票</t>
  </si>
  <si>
    <t>李四</t>
  </si>
  <si>
    <t>陈总</t>
  </si>
  <si>
    <t>房租物业费相关支出，上海区域区域</t>
  </si>
  <si>
    <t>2024-03-21</t>
  </si>
  <si>
    <t>ToC电商业务</t>
  </si>
  <si>
    <t>人事部</t>
  </si>
  <si>
    <t>ToC电商-2024年3月项目3</t>
  </si>
  <si>
    <t>收入</t>
  </si>
  <si>
    <t>其他业务收入</t>
  </si>
  <si>
    <t>场地租赁收入</t>
  </si>
  <si>
    <t>杭州区域</t>
  </si>
  <si>
    <t>未回款</t>
  </si>
  <si>
    <t>发票作废</t>
  </si>
  <si>
    <t>周八</t>
  </si>
  <si>
    <t>王总</t>
  </si>
  <si>
    <t>场地租赁收入相关收入，杭州区域区域</t>
  </si>
  <si>
    <t>2024-03-01</t>
  </si>
  <si>
    <t>定制化服务业务</t>
  </si>
  <si>
    <t>销售部</t>
  </si>
  <si>
    <t>定制化服务-2024年3月项目1</t>
  </si>
  <si>
    <t>支出</t>
  </si>
  <si>
    <t>管理费用</t>
  </si>
  <si>
    <t>管理人员薪酬</t>
  </si>
  <si>
    <t>武汉区域</t>
  </si>
  <si>
    <t>已支付</t>
  </si>
  <si>
    <t>已开票</t>
  </si>
  <si>
    <t>周八</t>
  </si>
  <si>
    <t>刘总</t>
  </si>
  <si>
    <t>管理人员薪酬相关支出，武汉区域区域</t>
  </si>
  <si>
    <t>2024-03-25</t>
  </si>
  <si>
    <t>ToB SaaS业务</t>
  </si>
  <si>
    <t>财务部</t>
  </si>
  <si>
    <t>ToB SaaS-2024年3月项目9</t>
  </si>
  <si>
    <t>收入</t>
  </si>
  <si>
    <t>其他业务收入</t>
  </si>
  <si>
    <t>场地租赁收入</t>
  </si>
  <si>
    <t>广州区域</t>
  </si>
  <si>
    <t>未回款</t>
  </si>
  <si>
    <t>已开票</t>
  </si>
  <si>
    <t>郑十</t>
  </si>
  <si>
    <t>陈总</t>
  </si>
  <si>
    <t>场地租赁收入相关收入，广州区域区域</t>
  </si>
  <si>
    <t>2024-03-11</t>
  </si>
  <si>
    <t>ToC电商业务</t>
  </si>
  <si>
    <t>人事部</t>
  </si>
  <si>
    <t>ToC电商-2024年3月项目6</t>
  </si>
  <si>
    <t>收入</t>
  </si>
  <si>
    <t>其他业务收入</t>
  </si>
  <si>
    <t>技术服务费收入</t>
  </si>
  <si>
    <t>武汉区域</t>
  </si>
  <si>
    <t>未回款</t>
  </si>
  <si>
    <t>发票作废</t>
  </si>
  <si>
    <t>周八</t>
  </si>
  <si>
    <t>陈总</t>
  </si>
  <si>
    <t>技术服务费收入相关收入，武汉区域区域</t>
  </si>
  <si>
    <t>2024-03-10</t>
  </si>
  <si>
    <t>ToB SaaS业务</t>
  </si>
  <si>
    <t>销售部</t>
  </si>
  <si>
    <t>ToB SaaS-2024年3月项目2</t>
  </si>
  <si>
    <t>支出</t>
  </si>
  <si>
    <t>销售费用</t>
  </si>
  <si>
    <t>渠道佣金</t>
  </si>
  <si>
    <t>上海区域</t>
  </si>
  <si>
    <t>已支付</t>
  </si>
  <si>
    <t>未开票</t>
  </si>
  <si>
    <t>孙七</t>
  </si>
  <si>
    <t>陈总</t>
  </si>
  <si>
    <t>渠道佣金相关支出，上海区域区域</t>
  </si>
  <si>
    <t>2024-03-08</t>
  </si>
  <si>
    <t>智能硬件销售业务</t>
  </si>
  <si>
    <t>研发部</t>
  </si>
  <si>
    <t>智能硬件销售-2024年3月项目9</t>
  </si>
  <si>
    <t>支出</t>
  </si>
  <si>
    <t>管理费用</t>
  </si>
  <si>
    <t>办公费</t>
  </si>
  <si>
    <t>成都区域</t>
  </si>
  <si>
    <t>已支付</t>
  </si>
  <si>
    <t>部分开票</t>
  </si>
  <si>
    <t>孙七</t>
  </si>
  <si>
    <t>王总</t>
  </si>
  <si>
    <t>办公费相关支出，成都区域区域</t>
  </si>
  <si>
    <t>2024-03-07</t>
  </si>
  <si>
    <t>定制化服务业务</t>
  </si>
  <si>
    <t>财务部</t>
  </si>
  <si>
    <t>定制化服务-2024年3月项目4</t>
  </si>
  <si>
    <t>支出</t>
  </si>
  <si>
    <t>管理费用</t>
  </si>
  <si>
    <t>房租物业费</t>
  </si>
  <si>
    <t>北京区域</t>
  </si>
  <si>
    <t>已支付</t>
  </si>
  <si>
    <t>发票作废</t>
  </si>
  <si>
    <t>孙七</t>
  </si>
  <si>
    <t>陈总</t>
  </si>
  <si>
    <t>房租物业费相关支出，北京区域区域</t>
  </si>
  <si>
    <t>2024-03-18</t>
  </si>
  <si>
    <t>定制化服务业务</t>
  </si>
  <si>
    <t>财务部</t>
  </si>
  <si>
    <t>定制化服务-2024年3月项目9</t>
  </si>
  <si>
    <t>支出</t>
  </si>
  <si>
    <t>主营业务成本</t>
  </si>
  <si>
    <t>技术服务成本</t>
  </si>
  <si>
    <t>深圳区域</t>
  </si>
  <si>
    <t>已支付</t>
  </si>
  <si>
    <t>未开票</t>
  </si>
  <si>
    <t>吴九</t>
  </si>
  <si>
    <t>李总</t>
  </si>
  <si>
    <t>技术服务成本相关支出，深圳区域区域</t>
  </si>
  <si>
    <t>2024-03-10</t>
  </si>
  <si>
    <t>定制化服务业务</t>
  </si>
  <si>
    <t>研发部</t>
  </si>
  <si>
    <t>定制化服务-2024年3月项目9</t>
  </si>
  <si>
    <t>支出</t>
  </si>
  <si>
    <t>营业外支出</t>
  </si>
  <si>
    <t>捐赠支出</t>
  </si>
  <si>
    <t>成都区域</t>
  </si>
  <si>
    <t>已支付</t>
  </si>
  <si>
    <t>已开票</t>
  </si>
  <si>
    <t>李四</t>
  </si>
  <si>
    <t>刘总</t>
  </si>
  <si>
    <t>捐赠支出相关支出，成都区域区域</t>
  </si>
  <si>
    <t>2024-03-14</t>
  </si>
  <si>
    <t>ToC电商业务</t>
  </si>
  <si>
    <t>销售部</t>
  </si>
  <si>
    <t>ToC电商-2024年3月项目5</t>
  </si>
  <si>
    <t>支出</t>
  </si>
  <si>
    <t>营业外支出</t>
  </si>
  <si>
    <t>资产盘亏支出</t>
  </si>
  <si>
    <t>杭州区域</t>
  </si>
  <si>
    <t>已支付</t>
  </si>
  <si>
    <t>未开票</t>
  </si>
  <si>
    <t>郑十</t>
  </si>
  <si>
    <t>王总</t>
  </si>
  <si>
    <t>资产盘亏支出相关支出，杭州区域区域</t>
  </si>
  <si>
    <t>2024-03-16</t>
  </si>
  <si>
    <t>ToB SaaS业务</t>
  </si>
  <si>
    <t>行政部</t>
  </si>
  <si>
    <t>ToB SaaS-2024年3月项目1</t>
  </si>
  <si>
    <t>收入</t>
  </si>
  <si>
    <t>营业外收入</t>
  </si>
  <si>
    <t>政府补贴</t>
  </si>
  <si>
    <t>成都区域</t>
  </si>
  <si>
    <t>未回款</t>
  </si>
  <si>
    <t>已开票</t>
  </si>
  <si>
    <t>周八</t>
  </si>
  <si>
    <t>张总</t>
  </si>
  <si>
    <t>政府补贴相关收入，成都区域区域</t>
  </si>
  <si>
    <t>2024-03-25</t>
  </si>
  <si>
    <t>智能硬件销售业务</t>
  </si>
  <si>
    <t>财务部</t>
  </si>
  <si>
    <t>智能硬件销售-2024年3月项目1</t>
  </si>
  <si>
    <t>支出</t>
  </si>
  <si>
    <t>营业外支出</t>
  </si>
  <si>
    <t>资产盘亏支出</t>
  </si>
  <si>
    <t>南京区域</t>
  </si>
  <si>
    <t>已支付</t>
  </si>
  <si>
    <t>未开票</t>
  </si>
  <si>
    <t>赵六</t>
  </si>
  <si>
    <t>张总</t>
  </si>
  <si>
    <t>资产盘亏支出相关支出，南京区域区域</t>
  </si>
  <si>
    <t>2024-04-17</t>
  </si>
  <si>
    <t>智能硬件销售业务</t>
  </si>
  <si>
    <t>研发部</t>
  </si>
  <si>
    <t>智能硬件销售-2024年4月项目5</t>
  </si>
  <si>
    <t>支出</t>
  </si>
  <si>
    <t>研发费用</t>
  </si>
  <si>
    <t>测试验收费</t>
  </si>
  <si>
    <t>深圳区域</t>
  </si>
  <si>
    <t>已支付</t>
  </si>
  <si>
    <t>未开票</t>
  </si>
  <si>
    <t>赵六</t>
  </si>
  <si>
    <t>刘总</t>
  </si>
  <si>
    <t>测试验收费相关支出，深圳区域区域</t>
  </si>
  <si>
    <t>2024-04-08</t>
  </si>
  <si>
    <t>ToC电商业务</t>
  </si>
  <si>
    <t>人事部</t>
  </si>
  <si>
    <t>ToC电商-2024年4月项目1</t>
  </si>
  <si>
    <t>支出</t>
  </si>
  <si>
    <t>研发费用</t>
  </si>
  <si>
    <t>设备采购费</t>
  </si>
  <si>
    <t>广州区域</t>
  </si>
  <si>
    <t>已支付</t>
  </si>
  <si>
    <t>发票作废</t>
  </si>
  <si>
    <t>孙七</t>
  </si>
  <si>
    <t>刘总</t>
  </si>
  <si>
    <t>设备采购费相关支出，广州区域区域</t>
  </si>
  <si>
    <t>2024-04-02</t>
  </si>
  <si>
    <t>ToB SaaS业务</t>
  </si>
  <si>
    <t>人事部</t>
  </si>
  <si>
    <t>ToB SaaS-2024年4月项目10</t>
  </si>
  <si>
    <t>支出</t>
  </si>
  <si>
    <t>研发费用</t>
  </si>
  <si>
    <t>技术研发费</t>
  </si>
  <si>
    <t>武汉区域</t>
  </si>
  <si>
    <t>已支付</t>
  </si>
  <si>
    <t>已开票</t>
  </si>
  <si>
    <t>吴九</t>
  </si>
  <si>
    <t>李总</t>
  </si>
  <si>
    <t>技术研发费相关支出，武汉区域区域</t>
  </si>
  <si>
    <t>2024-04-22</t>
  </si>
  <si>
    <t>定制化服务业务</t>
  </si>
  <si>
    <t>人事部</t>
  </si>
  <si>
    <t>定制化服务-2024年4月项目5</t>
  </si>
  <si>
    <t>支出</t>
  </si>
  <si>
    <t>管理费用</t>
  </si>
  <si>
    <t>房租物业费</t>
  </si>
  <si>
    <t>杭州区域</t>
  </si>
  <si>
    <t>已支付</t>
  </si>
  <si>
    <t>发票作废</t>
  </si>
  <si>
    <t>吴九</t>
  </si>
  <si>
    <t>刘总</t>
  </si>
  <si>
    <t>房租物业费相关支出，杭州区域区域</t>
  </si>
  <si>
    <t>2024-04-21</t>
  </si>
  <si>
    <t>智能硬件销售业务</t>
  </si>
  <si>
    <t>运营部</t>
  </si>
  <si>
    <t>智能硬件销售-2024年4月项目5</t>
  </si>
  <si>
    <t>收入</t>
  </si>
  <si>
    <t>主营业务收入</t>
  </si>
  <si>
    <t>电商销售收入</t>
  </si>
  <si>
    <t>广州区域</t>
  </si>
  <si>
    <t>未回款</t>
  </si>
  <si>
    <t>部分开票</t>
  </si>
  <si>
    <t>郑十</t>
  </si>
  <si>
    <t>王总</t>
  </si>
  <si>
    <t>电商销售收入相关收入，广州区域区域</t>
  </si>
  <si>
    <t>2024-04-07</t>
  </si>
  <si>
    <t>ToB SaaS业务</t>
  </si>
  <si>
    <t>运营部</t>
  </si>
  <si>
    <t>ToB SaaS-2024年4月项目8</t>
  </si>
  <si>
    <t>支出</t>
  </si>
  <si>
    <t>营业外支出</t>
  </si>
  <si>
    <t>违约金支出</t>
  </si>
  <si>
    <t>深圳区域</t>
  </si>
  <si>
    <t>已支付</t>
  </si>
  <si>
    <t>发票作废</t>
  </si>
  <si>
    <t>赵六</t>
  </si>
  <si>
    <t>陈总</t>
  </si>
  <si>
    <t>违约金支出相关支出，深圳区域区域</t>
  </si>
  <si>
    <t>2024-04-12</t>
  </si>
  <si>
    <t>ToC电商业务</t>
  </si>
  <si>
    <t>销售部</t>
  </si>
  <si>
    <t>ToC电商-2024年4月项目7</t>
  </si>
  <si>
    <t>收入</t>
  </si>
  <si>
    <t>主营业务收入</t>
  </si>
  <si>
    <t>硬件销售收入</t>
  </si>
  <si>
    <t>杭州区域</t>
  </si>
  <si>
    <t>部分回款</t>
  </si>
  <si>
    <t>未开票</t>
  </si>
  <si>
    <t>孙七</t>
  </si>
  <si>
    <t>张总</t>
  </si>
  <si>
    <t>硬件销售收入相关收入，杭州区域区域</t>
  </si>
  <si>
    <t>2024-04-14</t>
  </si>
  <si>
    <t>智能硬件销售业务</t>
  </si>
  <si>
    <t>市场部</t>
  </si>
  <si>
    <t>智能硬件销售-2024年4月项目8</t>
  </si>
  <si>
    <t>支出</t>
  </si>
  <si>
    <t>研发费用</t>
  </si>
  <si>
    <t>设备采购费</t>
  </si>
  <si>
    <t>杭州区域</t>
  </si>
  <si>
    <t>已支付</t>
  </si>
  <si>
    <t>未开票</t>
  </si>
  <si>
    <t>周八</t>
  </si>
  <si>
    <t>王总</t>
  </si>
  <si>
    <t>设备采购费相关支出，杭州区域区域</t>
  </si>
  <si>
    <t>2024-04-27</t>
  </si>
  <si>
    <t>定制化服务业务</t>
  </si>
  <si>
    <t>运营部</t>
  </si>
  <si>
    <t>定制化服务-2024年4月项目9</t>
  </si>
  <si>
    <t>支出</t>
  </si>
  <si>
    <t>管理费用</t>
  </si>
  <si>
    <t>折旧摊销费</t>
  </si>
  <si>
    <t>上海区域</t>
  </si>
  <si>
    <t>已支付</t>
  </si>
  <si>
    <t>部分开票</t>
  </si>
  <si>
    <t>吴九</t>
  </si>
  <si>
    <t>李总</t>
  </si>
  <si>
    <t>折旧摊销费相关支出，上海区域区域</t>
  </si>
  <si>
    <t>2024-04-20</t>
  </si>
  <si>
    <t>智能硬件销售业务</t>
  </si>
  <si>
    <t>行政部</t>
  </si>
  <si>
    <t>智能硬件销售-2024年4月项目2</t>
  </si>
  <si>
    <t>收入</t>
  </si>
  <si>
    <t>其他业务收入</t>
  </si>
  <si>
    <t>场地租赁收入</t>
  </si>
  <si>
    <t>深圳区域</t>
  </si>
  <si>
    <t>部分回款</t>
  </si>
  <si>
    <t>未开票</t>
  </si>
  <si>
    <t>吴九</t>
  </si>
  <si>
    <t>王总</t>
  </si>
  <si>
    <t>场地租赁收入相关收入，深圳区域区域</t>
  </si>
  <si>
    <t>2024-04-20</t>
  </si>
  <si>
    <t>智能硬件销售业务</t>
  </si>
  <si>
    <t>市场部</t>
  </si>
  <si>
    <t>智能硬件销售-2024年4月项目2</t>
  </si>
  <si>
    <t>支出</t>
  </si>
  <si>
    <t>营业外支出</t>
  </si>
  <si>
    <t>违约金支出</t>
  </si>
  <si>
    <t>上海区域</t>
  </si>
  <si>
    <t>已支付</t>
  </si>
  <si>
    <t>部分开票</t>
  </si>
  <si>
    <t>郑十</t>
  </si>
  <si>
    <t>陈总</t>
  </si>
  <si>
    <t>违约金支出相关支出，上海区域区域</t>
  </si>
  <si>
    <t>2024-04-17</t>
  </si>
  <si>
    <t>ToC电商业务</t>
  </si>
  <si>
    <t>运营部</t>
  </si>
  <si>
    <t>ToC电商-2024年4月项目2</t>
  </si>
  <si>
    <t>支出</t>
  </si>
  <si>
    <t>研发费用</t>
  </si>
  <si>
    <t>设备采购费</t>
  </si>
  <si>
    <t>杭州区域</t>
  </si>
  <si>
    <t>已支付</t>
  </si>
  <si>
    <t>发票作废</t>
  </si>
  <si>
    <t>王五</t>
  </si>
  <si>
    <t>王总</t>
  </si>
  <si>
    <t>设备采购费相关支出，杭州区域区域</t>
  </si>
  <si>
    <t>2024-04-28</t>
  </si>
  <si>
    <t>定制化服务业务</t>
  </si>
  <si>
    <t>行政部</t>
  </si>
  <si>
    <t>定制化服务-2024年4月项目9</t>
  </si>
  <si>
    <t>支出</t>
  </si>
  <si>
    <t>财务费用</t>
  </si>
  <si>
    <t>汇兑损益</t>
  </si>
  <si>
    <t>深圳区域</t>
  </si>
  <si>
    <t>已支付</t>
  </si>
  <si>
    <t>发票作废</t>
  </si>
  <si>
    <t>周八</t>
  </si>
  <si>
    <t>李总</t>
  </si>
  <si>
    <t>汇兑损益相关支出，深圳区域区域</t>
  </si>
  <si>
    <t>2024-04-19</t>
  </si>
  <si>
    <t>定制化服务业务</t>
  </si>
  <si>
    <t>人事部</t>
  </si>
  <si>
    <t>定制化服务-2024年4月项目5</t>
  </si>
  <si>
    <t>支出</t>
  </si>
  <si>
    <t>主营业务成本</t>
  </si>
  <si>
    <t>物流配送成本</t>
  </si>
  <si>
    <t>杭州区域</t>
  </si>
  <si>
    <t>已支付</t>
  </si>
  <si>
    <t>发票作废</t>
  </si>
  <si>
    <t>赵六</t>
  </si>
  <si>
    <t>王总</t>
  </si>
  <si>
    <t>物流配送成本相关支出，杭州区域区域</t>
  </si>
  <si>
    <t>2024-04-10</t>
  </si>
  <si>
    <t>智能硬件销售业务</t>
  </si>
  <si>
    <t>人事部</t>
  </si>
  <si>
    <t>智能硬件销售-2024年4月项目5</t>
  </si>
  <si>
    <t>支出</t>
  </si>
  <si>
    <t>销售费用</t>
  </si>
  <si>
    <t>业务招待费</t>
  </si>
  <si>
    <t>武汉区域</t>
  </si>
  <si>
    <t>已支付</t>
  </si>
  <si>
    <t>部分开票</t>
  </si>
  <si>
    <t>赵六</t>
  </si>
  <si>
    <t>王总</t>
  </si>
  <si>
    <t>业务招待费相关支出，武汉区域区域</t>
  </si>
  <si>
    <t>2024-05-07</t>
  </si>
  <si>
    <t>智能硬件销售业务</t>
  </si>
  <si>
    <t>市场部</t>
  </si>
  <si>
    <t>智能硬件销售-2024年5月项目3</t>
  </si>
  <si>
    <t>支出</t>
  </si>
  <si>
    <t>管理费用</t>
  </si>
  <si>
    <t>水电费</t>
  </si>
  <si>
    <t>成都区域</t>
  </si>
  <si>
    <t>已支付</t>
  </si>
  <si>
    <t>已开票</t>
  </si>
  <si>
    <t>吴九</t>
  </si>
  <si>
    <t>王总</t>
  </si>
  <si>
    <t>水电费相关支出，成都区域区域</t>
  </si>
  <si>
    <t>2024-05-03</t>
  </si>
  <si>
    <t>ToC电商业务</t>
  </si>
  <si>
    <t>销售部</t>
  </si>
  <si>
    <t>ToC电商-2024年5月项目10</t>
  </si>
  <si>
    <t>支出</t>
  </si>
  <si>
    <t>销售费用</t>
  </si>
  <si>
    <t>市场推广费</t>
  </si>
  <si>
    <t>上海区域</t>
  </si>
  <si>
    <t>已支付</t>
  </si>
  <si>
    <t>未开票</t>
  </si>
  <si>
    <t>周八</t>
  </si>
  <si>
    <t>王总</t>
  </si>
  <si>
    <t>市场推广费相关支出，上海区域区域</t>
  </si>
  <si>
    <t>2024-05-17</t>
  </si>
  <si>
    <t>ToB SaaS业务</t>
  </si>
  <si>
    <t>市场部</t>
  </si>
  <si>
    <t>ToB SaaS-2024年5月项目3</t>
  </si>
  <si>
    <t>收入</t>
  </si>
  <si>
    <t>其他业务收入</t>
  </si>
  <si>
    <t>技术服务费收入</t>
  </si>
  <si>
    <t>北京区域</t>
  </si>
  <si>
    <t>未回款</t>
  </si>
  <si>
    <t>部分开票</t>
  </si>
  <si>
    <t>张三</t>
  </si>
  <si>
    <t>刘总</t>
  </si>
  <si>
    <t>技术服务费收入相关收入，北京区域区域</t>
  </si>
  <si>
    <t>2024-05-09</t>
  </si>
  <si>
    <t>智能硬件销售业务</t>
  </si>
  <si>
    <t>运营部</t>
  </si>
  <si>
    <t>智能硬件销售-2024年5月项目6</t>
  </si>
  <si>
    <t>支出</t>
  </si>
  <si>
    <t>研发费用</t>
  </si>
  <si>
    <t>研发人员薪酬</t>
  </si>
  <si>
    <t>杭州区域</t>
  </si>
  <si>
    <t>已支付</t>
  </si>
  <si>
    <t>已开票</t>
  </si>
  <si>
    <t>孙七</t>
  </si>
  <si>
    <t>王总</t>
  </si>
  <si>
    <t>研发人员薪酬相关支出，杭州区域区域</t>
  </si>
  <si>
    <t>2024-05-04</t>
  </si>
  <si>
    <t>智能硬件销售业务</t>
  </si>
  <si>
    <t>市场部</t>
  </si>
  <si>
    <t>智能硬件销售-2024年5月项目7</t>
  </si>
  <si>
    <t>支出</t>
  </si>
  <si>
    <t>主营业务成本</t>
  </si>
  <si>
    <t>商品采购成本</t>
  </si>
  <si>
    <t>武汉区域</t>
  </si>
  <si>
    <t>已支付</t>
  </si>
  <si>
    <t>已开票</t>
  </si>
  <si>
    <t>赵六</t>
  </si>
  <si>
    <t>张总</t>
  </si>
  <si>
    <t>商品采购成本相关支出，武汉区域区域</t>
  </si>
  <si>
    <t>2024-05-18</t>
  </si>
  <si>
    <t>定制化服务业务</t>
  </si>
  <si>
    <t>财务部</t>
  </si>
  <si>
    <t>定制化服务-2024年5月项目5</t>
  </si>
  <si>
    <t>收入</t>
  </si>
  <si>
    <t>营业外收入</t>
  </si>
  <si>
    <t>资产盘盈收入</t>
  </si>
  <si>
    <t>北京区域</t>
  </si>
  <si>
    <t>部分回款</t>
  </si>
  <si>
    <t>已开票</t>
  </si>
  <si>
    <t>赵六</t>
  </si>
  <si>
    <t>李总</t>
  </si>
  <si>
    <t>资产盘盈收入相关收入，北京区域区域</t>
  </si>
  <si>
    <t>2024-05-21</t>
  </si>
  <si>
    <t>ToB SaaS业务</t>
  </si>
  <si>
    <t>人事部</t>
  </si>
  <si>
    <t>ToB SaaS-2024年5月项目7</t>
  </si>
  <si>
    <t>支出</t>
  </si>
  <si>
    <t>营业外支出</t>
  </si>
  <si>
    <t>违约金支出</t>
  </si>
  <si>
    <t>成都区域</t>
  </si>
  <si>
    <t>已支付</t>
  </si>
  <si>
    <t>发票作废</t>
  </si>
  <si>
    <t>吴九</t>
  </si>
  <si>
    <t>王总</t>
  </si>
  <si>
    <t>违约金支出相关支出，成都区域区域</t>
  </si>
  <si>
    <t>2024-05-16</t>
  </si>
  <si>
    <t>定制化服务业务</t>
  </si>
  <si>
    <t>运营部</t>
  </si>
  <si>
    <t>定制化服务-2024年5月项目5</t>
  </si>
  <si>
    <t>收入</t>
  </si>
  <si>
    <t>其他业务收入</t>
  </si>
  <si>
    <t>广告佣金收入</t>
  </si>
  <si>
    <t>广州区域</t>
  </si>
  <si>
    <t>坏账</t>
  </si>
  <si>
    <t>未开票</t>
  </si>
  <si>
    <t>赵六</t>
  </si>
  <si>
    <t>刘总</t>
  </si>
  <si>
    <t>广告佣金收入相关收入，广州区域区域</t>
  </si>
  <si>
    <t>2024-05-13</t>
  </si>
  <si>
    <t>智能硬件销售业务</t>
  </si>
  <si>
    <t>财务部</t>
  </si>
  <si>
    <t>智能硬件销售-2024年5月项目5</t>
  </si>
  <si>
    <t>支出</t>
  </si>
  <si>
    <t>财务费用</t>
  </si>
  <si>
    <t>汇兑损益</t>
  </si>
  <si>
    <t>深圳区域</t>
  </si>
  <si>
    <t>已支付</t>
  </si>
  <si>
    <t>未开票</t>
  </si>
  <si>
    <t>李四</t>
  </si>
  <si>
    <t>张总</t>
  </si>
  <si>
    <t>汇兑损益相关支出，深圳区域区域</t>
  </si>
  <si>
    <t>2024-05-15</t>
  </si>
  <si>
    <t>智能硬件销售业务</t>
  </si>
  <si>
    <t>研发部</t>
  </si>
  <si>
    <t>智能硬件销售-2024年5月项目9</t>
  </si>
  <si>
    <t>收入</t>
  </si>
  <si>
    <t>营业外收入</t>
  </si>
  <si>
    <t>违约金收入</t>
  </si>
  <si>
    <t>广州区域</t>
  </si>
  <si>
    <t>未回款</t>
  </si>
  <si>
    <t>部分开票</t>
  </si>
  <si>
    <t>郑十</t>
  </si>
  <si>
    <t>张总</t>
  </si>
  <si>
    <t>违约金收入相关收入，广州区域区域</t>
  </si>
  <si>
    <t>2024-05-16</t>
  </si>
  <si>
    <t>智能硬件销售业务</t>
  </si>
  <si>
    <t>行政部</t>
  </si>
  <si>
    <t>智能硬件销售-2024年5月项目1</t>
  </si>
  <si>
    <t>支出</t>
  </si>
  <si>
    <t>主营业务成本</t>
  </si>
  <si>
    <t>硬件生产成本</t>
  </si>
  <si>
    <t>南京区域</t>
  </si>
  <si>
    <t>已支付</t>
  </si>
  <si>
    <t>发票作废</t>
  </si>
  <si>
    <t>孙七</t>
  </si>
  <si>
    <t>王总</t>
  </si>
  <si>
    <t>硬件生产成本相关支出，南京区域区域</t>
  </si>
  <si>
    <t>2024-05-03</t>
  </si>
  <si>
    <t>ToC电商业务</t>
  </si>
  <si>
    <t>销售部</t>
  </si>
  <si>
    <t>ToC电商-2024年5月项目9</t>
  </si>
  <si>
    <t>收入</t>
  </si>
  <si>
    <t>主营业务收入</t>
  </si>
  <si>
    <t>定制服务收入</t>
  </si>
  <si>
    <t>广州区域</t>
  </si>
  <si>
    <t>未回款</t>
  </si>
  <si>
    <t>未开票</t>
  </si>
  <si>
    <t>孙七</t>
  </si>
  <si>
    <t>陈总</t>
  </si>
  <si>
    <t>定制服务收入相关收入，广州区域区域</t>
  </si>
  <si>
    <t>2024-05-12</t>
  </si>
  <si>
    <t>智能硬件销售业务</t>
  </si>
  <si>
    <t>销售部</t>
  </si>
  <si>
    <t>智能硬件销售-2024年5月项目8</t>
  </si>
  <si>
    <t>支出</t>
  </si>
  <si>
    <t>研发费用</t>
  </si>
  <si>
    <t>研发人员薪酬</t>
  </si>
  <si>
    <t>成都区域</t>
  </si>
  <si>
    <t>已支付</t>
  </si>
  <si>
    <t>发票作废</t>
  </si>
  <si>
    <t>郑十</t>
  </si>
  <si>
    <t>李总</t>
  </si>
  <si>
    <t>研发人员薪酬相关支出，成都区域区域</t>
  </si>
  <si>
    <t>2024-05-26</t>
  </si>
  <si>
    <t>智能硬件销售业务</t>
  </si>
  <si>
    <t>财务部</t>
  </si>
  <si>
    <t>智能硬件销售-2024年5月项目10</t>
  </si>
  <si>
    <t>收入</t>
  </si>
  <si>
    <t>营业外收入</t>
  </si>
  <si>
    <t>政府补贴</t>
  </si>
  <si>
    <t>北京区域</t>
  </si>
  <si>
    <t>已回款</t>
  </si>
  <si>
    <t>未开票</t>
  </si>
  <si>
    <t>李四</t>
  </si>
  <si>
    <t>张总</t>
  </si>
  <si>
    <t>政府补贴相关收入，北京区域区域</t>
  </si>
  <si>
    <t>2024-05-11</t>
  </si>
  <si>
    <t>ToB SaaS业务</t>
  </si>
  <si>
    <t>销售部</t>
  </si>
  <si>
    <t>ToB SaaS-2024年5月项目6</t>
  </si>
  <si>
    <t>收入</t>
  </si>
  <si>
    <t>营业外收入</t>
  </si>
  <si>
    <t>政府补贴</t>
  </si>
  <si>
    <t>南京区域</t>
  </si>
  <si>
    <t>已回款</t>
  </si>
  <si>
    <t>未开票</t>
  </si>
  <si>
    <t>孙七</t>
  </si>
  <si>
    <t>张总</t>
  </si>
  <si>
    <t>政府补贴相关收入，南京区域区域</t>
  </si>
  <si>
    <t>2024-06-09</t>
  </si>
  <si>
    <t>智能硬件销售业务</t>
  </si>
  <si>
    <t>财务部</t>
  </si>
  <si>
    <t>智能硬件销售-2024年6月项目7</t>
  </si>
  <si>
    <t>收入</t>
  </si>
  <si>
    <t>其他业务收入</t>
  </si>
  <si>
    <t>技术服务费收入</t>
  </si>
  <si>
    <t>北京区域</t>
  </si>
  <si>
    <t>坏账</t>
  </si>
  <si>
    <t>发票作废</t>
  </si>
  <si>
    <t>李四</t>
  </si>
  <si>
    <t>张总</t>
  </si>
  <si>
    <t>技术服务费收入相关收入，北京区域区域</t>
  </si>
  <si>
    <t>2024-06-13</t>
  </si>
  <si>
    <t>智能硬件销售业务</t>
  </si>
  <si>
    <t>运营部</t>
  </si>
  <si>
    <t>智能硬件销售-2024年6月项目4</t>
  </si>
  <si>
    <t>支出</t>
  </si>
  <si>
    <t>营业外支出</t>
  </si>
  <si>
    <t>捐赠支出</t>
  </si>
  <si>
    <t>杭州区域</t>
  </si>
  <si>
    <t>已支付</t>
  </si>
  <si>
    <t>已开票</t>
  </si>
  <si>
    <t>赵六</t>
  </si>
  <si>
    <t>王总</t>
  </si>
  <si>
    <t>捐赠支出相关支出，杭州区域区域</t>
  </si>
  <si>
    <t>2024-06-11</t>
  </si>
  <si>
    <t>智能硬件销售业务</t>
  </si>
  <si>
    <t>销售部</t>
  </si>
  <si>
    <t>智能硬件销售-2024年6月项目8</t>
  </si>
  <si>
    <t>收入</t>
  </si>
  <si>
    <t>其他业务收入</t>
  </si>
  <si>
    <t>场地租赁收入</t>
  </si>
  <si>
    <t>深圳区域</t>
  </si>
  <si>
    <t>部分回款</t>
  </si>
  <si>
    <t>已开票</t>
  </si>
  <si>
    <t>李四</t>
  </si>
  <si>
    <t>陈总</t>
  </si>
  <si>
    <t>场地租赁收入相关收入，深圳区域区域</t>
  </si>
  <si>
    <t>2024-06-06</t>
  </si>
  <si>
    <t>ToB SaaS业务</t>
  </si>
  <si>
    <t>财务部</t>
  </si>
  <si>
    <t>ToB SaaS-2024年6月项目3</t>
  </si>
  <si>
    <t>收入</t>
  </si>
  <si>
    <t>主营业务收入</t>
  </si>
  <si>
    <t>硬件销售收入</t>
  </si>
  <si>
    <t>南京区域</t>
  </si>
  <si>
    <t>已回款</t>
  </si>
  <si>
    <t>未开票</t>
  </si>
  <si>
    <t>王五</t>
  </si>
  <si>
    <t>王总</t>
  </si>
  <si>
    <t>硬件销售收入相关收入，南京区域区域</t>
  </si>
  <si>
    <t>2024-06-14</t>
  </si>
  <si>
    <t>ToC电商业务</t>
  </si>
  <si>
    <t>研发部</t>
  </si>
  <si>
    <t>ToC电商-2024年6月项目4</t>
  </si>
  <si>
    <t>支出</t>
  </si>
  <si>
    <t>营业外支出</t>
  </si>
  <si>
    <t>违约金支出</t>
  </si>
  <si>
    <t>武汉区域</t>
  </si>
  <si>
    <t>已支付</t>
  </si>
  <si>
    <t>部分开票</t>
  </si>
  <si>
    <t>赵六</t>
  </si>
  <si>
    <t>李总</t>
  </si>
  <si>
    <t>违约金支出相关支出，武汉区域区域</t>
  </si>
  <si>
    <t>2024-06-09</t>
  </si>
  <si>
    <t>ToC电商业务</t>
  </si>
  <si>
    <t>人事部</t>
  </si>
  <si>
    <t>ToC电商-2024年6月项目2</t>
  </si>
  <si>
    <t>收入</t>
  </si>
  <si>
    <t>主营业务收入</t>
  </si>
  <si>
    <t>硬件销售收入</t>
  </si>
  <si>
    <t>杭州区域</t>
  </si>
  <si>
    <t>坏账</t>
  </si>
  <si>
    <t>部分开票</t>
  </si>
  <si>
    <t>张三</t>
  </si>
  <si>
    <t>李总</t>
  </si>
  <si>
    <t>硬件销售收入相关收入，杭州区域区域</t>
  </si>
  <si>
    <t>2024-06-09</t>
  </si>
  <si>
    <t>定制化服务业务</t>
  </si>
  <si>
    <t>销售部</t>
  </si>
  <si>
    <t>定制化服务-2024年6月项目6</t>
  </si>
  <si>
    <t>支出</t>
  </si>
  <si>
    <t>主营业务成本</t>
  </si>
  <si>
    <t>商品采购成本</t>
  </si>
  <si>
    <t>武汉区域</t>
  </si>
  <si>
    <t>已支付</t>
  </si>
  <si>
    <t>未开票</t>
  </si>
  <si>
    <t>王五</t>
  </si>
  <si>
    <t>张总</t>
  </si>
  <si>
    <t>商品采购成本相关支出，武汉区域区域</t>
  </si>
  <si>
    <t>2024-06-06</t>
  </si>
  <si>
    <t>ToC电商业务</t>
  </si>
  <si>
    <t>财务部</t>
  </si>
  <si>
    <t>ToC电商-2024年6月项目6</t>
  </si>
  <si>
    <t>收入</t>
  </si>
  <si>
    <t>营业外收入</t>
  </si>
  <si>
    <t>资产盘盈收入</t>
  </si>
  <si>
    <t>北京区域</t>
  </si>
  <si>
    <t>坏账</t>
  </si>
  <si>
    <t>发票作废</t>
  </si>
  <si>
    <t>周八</t>
  </si>
  <si>
    <t>刘总</t>
  </si>
  <si>
    <t>资产盘盈收入相关收入，北京区域区域</t>
  </si>
  <si>
    <t>2024-06-16</t>
  </si>
  <si>
    <t>ToB SaaS业务</t>
  </si>
  <si>
    <t>行政部</t>
  </si>
  <si>
    <t>ToB SaaS-2024年6月项目3</t>
  </si>
  <si>
    <t>支出</t>
  </si>
  <si>
    <t>主营业务成本</t>
  </si>
  <si>
    <t>物流配送成本</t>
  </si>
  <si>
    <t>上海区域</t>
  </si>
  <si>
    <t>已支付</t>
  </si>
  <si>
    <t>部分开票</t>
  </si>
  <si>
    <t>郑十</t>
  </si>
  <si>
    <t>刘总</t>
  </si>
  <si>
    <t>物流配送成本相关支出，上海区域区域</t>
  </si>
  <si>
    <t>2024-06-21</t>
  </si>
  <si>
    <t>智能硬件销售业务</t>
  </si>
  <si>
    <t>市场部</t>
  </si>
  <si>
    <t>智能硬件销售-2024年6月项目6</t>
  </si>
  <si>
    <t>支出</t>
  </si>
  <si>
    <t>财务费用</t>
  </si>
  <si>
    <t>汇兑损益</t>
  </si>
  <si>
    <t>成都区域</t>
  </si>
  <si>
    <t>已支付</t>
  </si>
  <si>
    <t>部分开票</t>
  </si>
  <si>
    <t>郑十</t>
  </si>
  <si>
    <t>张总</t>
  </si>
  <si>
    <t>汇兑损益相关支出，成都区域区域</t>
  </si>
  <si>
    <t>2024-06-22</t>
  </si>
  <si>
    <t>智能硬件销售业务</t>
  </si>
  <si>
    <t>销售部</t>
  </si>
  <si>
    <t>智能硬件销售-2024年6月项目6</t>
  </si>
  <si>
    <t>支出</t>
  </si>
  <si>
    <t>财务费用</t>
  </si>
  <si>
    <t>银行手续费</t>
  </si>
  <si>
    <t>深圳区域</t>
  </si>
  <si>
    <t>已支付</t>
  </si>
  <si>
    <t>部分开票</t>
  </si>
  <si>
    <t>郑十</t>
  </si>
  <si>
    <t>李总</t>
  </si>
  <si>
    <t>银行手续费相关支出，深圳区域区域</t>
  </si>
  <si>
    <t>2024-06-03</t>
  </si>
  <si>
    <t>ToB SaaS业务</t>
  </si>
  <si>
    <t>市场部</t>
  </si>
  <si>
    <t>ToB SaaS-2024年6月项目2</t>
  </si>
  <si>
    <t>收入</t>
  </si>
  <si>
    <t>主营业务收入</t>
  </si>
  <si>
    <t>SaaS订阅收入</t>
  </si>
  <si>
    <t>上海区域</t>
  </si>
  <si>
    <t>部分回款</t>
  </si>
  <si>
    <t>部分开票</t>
  </si>
  <si>
    <t>李四</t>
  </si>
  <si>
    <t>陈总</t>
  </si>
  <si>
    <t>SaaS订阅收入相关收入，上海区域区域</t>
  </si>
  <si>
    <t>2024-06-26</t>
  </si>
  <si>
    <t>智能硬件销售业务</t>
  </si>
  <si>
    <t>人事部</t>
  </si>
  <si>
    <t>智能硬件销售-2024年6月项目7</t>
  </si>
  <si>
    <t>支出</t>
  </si>
  <si>
    <t>研发费用</t>
  </si>
  <si>
    <t>设备采购费</t>
  </si>
  <si>
    <t>北京区域</t>
  </si>
  <si>
    <t>已支付</t>
  </si>
  <si>
    <t>部分开票</t>
  </si>
  <si>
    <t>郑十</t>
  </si>
  <si>
    <t>张总</t>
  </si>
  <si>
    <t>设备采购费相关支出，北京区域区域</t>
  </si>
  <si>
    <t>2024-06-11</t>
  </si>
  <si>
    <t>ToC电商业务</t>
  </si>
  <si>
    <t>销售部</t>
  </si>
  <si>
    <t>ToC电商-2024年6月项目4</t>
  </si>
  <si>
    <t>收入</t>
  </si>
  <si>
    <t>主营业务收入</t>
  </si>
  <si>
    <t>SaaS订阅收入</t>
  </si>
  <si>
    <t>杭州区域</t>
  </si>
  <si>
    <t>部分回款</t>
  </si>
  <si>
    <t>未开票</t>
  </si>
  <si>
    <t>张三</t>
  </si>
  <si>
    <t>李总</t>
  </si>
  <si>
    <t>SaaS订阅收入相关收入，杭州区域区域</t>
  </si>
  <si>
    <t>2024-06-10</t>
  </si>
  <si>
    <t>定制化服务业务</t>
  </si>
  <si>
    <t>市场部</t>
  </si>
  <si>
    <t>定制化服务-2024年6月项目5</t>
  </si>
  <si>
    <t>支出</t>
  </si>
  <si>
    <t>主营业务成本</t>
  </si>
  <si>
    <t>技术服务成本</t>
  </si>
  <si>
    <t>杭州区域</t>
  </si>
  <si>
    <t>已支付</t>
  </si>
  <si>
    <t>发票作废</t>
  </si>
  <si>
    <t>孙七</t>
  </si>
  <si>
    <t>张总</t>
  </si>
  <si>
    <t>技术服务成本相关支出，杭州区域区域</t>
  </si>
  <si>
    <t>2024-07-22</t>
  </si>
  <si>
    <t>ToC电商业务</t>
  </si>
  <si>
    <t>行政部</t>
  </si>
  <si>
    <t>ToC电商-2024年7月项目8</t>
  </si>
  <si>
    <t>支出</t>
  </si>
  <si>
    <t>研发费用</t>
  </si>
  <si>
    <t>设备采购费</t>
  </si>
  <si>
    <t>南京区域</t>
  </si>
  <si>
    <t>已支付</t>
  </si>
  <si>
    <t>未开票</t>
  </si>
  <si>
    <t>张三</t>
  </si>
  <si>
    <t>王总</t>
  </si>
  <si>
    <t>设备采购费相关支出，南京区域区域</t>
  </si>
  <si>
    <t>2024-07-09</t>
  </si>
  <si>
    <t>定制化服务业务</t>
  </si>
  <si>
    <t>市场部</t>
  </si>
  <si>
    <t>定制化服务-2024年7月项目6</t>
  </si>
  <si>
    <t>收入</t>
  </si>
  <si>
    <t>营业外收入</t>
  </si>
  <si>
    <t>资产盘盈收入</t>
  </si>
  <si>
    <t>杭州区域</t>
  </si>
  <si>
    <t>部分回款</t>
  </si>
  <si>
    <t>部分开票</t>
  </si>
  <si>
    <t>孙七</t>
  </si>
  <si>
    <t>张总</t>
  </si>
  <si>
    <t>资产盘盈收入相关收入，杭州区域区域</t>
  </si>
  <si>
    <t>2024-07-20</t>
  </si>
  <si>
    <t>ToC电商业务</t>
  </si>
  <si>
    <t>运营部</t>
  </si>
  <si>
    <t>ToC电商-2024年7月项目4</t>
  </si>
  <si>
    <t>支出</t>
  </si>
  <si>
    <t>财务费用</t>
  </si>
  <si>
    <t>银行手续费</t>
  </si>
  <si>
    <t>成都区域</t>
  </si>
  <si>
    <t>已支付</t>
  </si>
  <si>
    <t>已开票</t>
  </si>
  <si>
    <t>孙七</t>
  </si>
  <si>
    <t>王总</t>
  </si>
  <si>
    <t>银行手续费相关支出，成都区域区域</t>
  </si>
  <si>
    <t>2024-07-23</t>
  </si>
  <si>
    <t>ToB SaaS业务</t>
  </si>
  <si>
    <t>市场部</t>
  </si>
  <si>
    <t>ToB SaaS-2024年7月项目6</t>
  </si>
  <si>
    <t>收入</t>
  </si>
  <si>
    <t>其他业务收入</t>
  </si>
  <si>
    <t>场地租赁收入</t>
  </si>
  <si>
    <t>北京区域</t>
  </si>
  <si>
    <t>已回款</t>
  </si>
  <si>
    <t>发票作废</t>
  </si>
  <si>
    <t>周八</t>
  </si>
  <si>
    <t>刘总</t>
  </si>
  <si>
    <t>场地租赁收入相关收入，北京区域区域</t>
  </si>
  <si>
    <t>2024-07-18</t>
  </si>
  <si>
    <t>智能硬件销售业务</t>
  </si>
  <si>
    <t>人事部</t>
  </si>
  <si>
    <t>智能硬件销售-2024年7月项目10</t>
  </si>
  <si>
    <t>支出</t>
  </si>
  <si>
    <t>管理费用</t>
  </si>
  <si>
    <t>管理人员薪酬</t>
  </si>
  <si>
    <t>北京区域</t>
  </si>
  <si>
    <t>已支付</t>
  </si>
  <si>
    <t>已开票</t>
  </si>
  <si>
    <t>孙七</t>
  </si>
  <si>
    <t>陈总</t>
  </si>
  <si>
    <t>管理人员薪酬相关支出，北京区域区域</t>
  </si>
  <si>
    <t>2024-07-11</t>
  </si>
  <si>
    <t>ToC电商业务</t>
  </si>
  <si>
    <t>行政部</t>
  </si>
  <si>
    <t>ToC电商-2024年7月项目8</t>
  </si>
  <si>
    <t>收入</t>
  </si>
  <si>
    <t>营业外收入</t>
  </si>
  <si>
    <t>政府补贴</t>
  </si>
  <si>
    <t>深圳区域</t>
  </si>
  <si>
    <t>已回款</t>
  </si>
  <si>
    <t>部分开票</t>
  </si>
  <si>
    <t>郑十</t>
  </si>
  <si>
    <t>李总</t>
  </si>
  <si>
    <t>政府补贴相关收入，深圳区域区域</t>
  </si>
  <si>
    <t>2024-07-21</t>
  </si>
  <si>
    <t>智能硬件销售业务</t>
  </si>
  <si>
    <t>运营部</t>
  </si>
  <si>
    <t>智能硬件销售-2024年7月项目1</t>
  </si>
  <si>
    <t>支出</t>
  </si>
  <si>
    <t>销售费用</t>
  </si>
  <si>
    <t>渠道佣金</t>
  </si>
  <si>
    <t>成都区域</t>
  </si>
  <si>
    <t>已支付</t>
  </si>
  <si>
    <t>发票作废</t>
  </si>
  <si>
    <t>孙七</t>
  </si>
  <si>
    <t>刘总</t>
  </si>
  <si>
    <t>渠道佣金相关支出，成都区域区域</t>
  </si>
  <si>
    <t>2024-07-01</t>
  </si>
  <si>
    <t>定制化服务业务</t>
  </si>
  <si>
    <t>财务部</t>
  </si>
  <si>
    <t>定制化服务-2024年7月项目9</t>
  </si>
  <si>
    <t>支出</t>
  </si>
  <si>
    <t>主营业务成本</t>
  </si>
  <si>
    <t>技术服务成本</t>
  </si>
  <si>
    <t>南京区域</t>
  </si>
  <si>
    <t>已支付</t>
  </si>
  <si>
    <t>已开票</t>
  </si>
  <si>
    <t>孙七</t>
  </si>
  <si>
    <t>李总</t>
  </si>
  <si>
    <t>技术服务成本相关支出，南京区域区域</t>
  </si>
  <si>
    <t>2024-07-09</t>
  </si>
  <si>
    <t>定制化服务业务</t>
  </si>
  <si>
    <t>研发部</t>
  </si>
  <si>
    <t>定制化服务-2024年7月项目3</t>
  </si>
  <si>
    <t>支出</t>
  </si>
  <si>
    <t>管理费用</t>
  </si>
  <si>
    <t>办公费</t>
  </si>
  <si>
    <t>武汉区域</t>
  </si>
  <si>
    <t>已支付</t>
  </si>
  <si>
    <t>发票作废</t>
  </si>
  <si>
    <t>王五</t>
  </si>
  <si>
    <t>陈总</t>
  </si>
  <si>
    <t>办公费相关支出，武汉区域区域</t>
  </si>
  <si>
    <t>2024-07-10</t>
  </si>
  <si>
    <t>ToC电商业务</t>
  </si>
  <si>
    <t>运营部</t>
  </si>
  <si>
    <t>ToC电商-2024年7月项目3</t>
  </si>
  <si>
    <t>收入</t>
  </si>
  <si>
    <t>其他业务收入</t>
  </si>
  <si>
    <t>广告佣金收入</t>
  </si>
  <si>
    <t>深圳区域</t>
  </si>
  <si>
    <t>已回款</t>
  </si>
  <si>
    <t>未开票</t>
  </si>
  <si>
    <t>吴九</t>
  </si>
  <si>
    <t>李总</t>
  </si>
  <si>
    <t>广告佣金收入相关收入，深圳区域区域</t>
  </si>
  <si>
    <t>2024-07-09</t>
  </si>
  <si>
    <t>智能硬件销售业务</t>
  </si>
  <si>
    <t>运营部</t>
  </si>
  <si>
    <t>智能硬件销售-2024年7月项目6</t>
  </si>
  <si>
    <t>支出</t>
  </si>
  <si>
    <t>主营业务成本</t>
  </si>
  <si>
    <t>物流配送成本</t>
  </si>
  <si>
    <t>广州区域</t>
  </si>
  <si>
    <t>已支付</t>
  </si>
  <si>
    <t>部分开票</t>
  </si>
  <si>
    <t>郑十</t>
  </si>
  <si>
    <t>王总</t>
  </si>
  <si>
    <t>物流配送成本相关支出，广州区域区域</t>
  </si>
  <si>
    <t>2024-07-15</t>
  </si>
  <si>
    <t>ToC电商业务</t>
  </si>
  <si>
    <t>研发部</t>
  </si>
  <si>
    <t>ToC电商-2024年7月项目5</t>
  </si>
  <si>
    <t>支出</t>
  </si>
  <si>
    <t>财务费用</t>
  </si>
  <si>
    <t>汇兑损益</t>
  </si>
  <si>
    <t>成都区域</t>
  </si>
  <si>
    <t>已支付</t>
  </si>
  <si>
    <t>未开票</t>
  </si>
  <si>
    <t>吴九</t>
  </si>
  <si>
    <t>张总</t>
  </si>
  <si>
    <t>汇兑损益相关支出，成都区域区域</t>
  </si>
  <si>
    <t>2024-07-26</t>
  </si>
  <si>
    <t>ToC电商业务</t>
  </si>
  <si>
    <t>人事部</t>
  </si>
  <si>
    <t>ToC电商-2024年7月项目8</t>
  </si>
  <si>
    <t>支出</t>
  </si>
  <si>
    <t>主营业务成本</t>
  </si>
  <si>
    <t>商品采购成本</t>
  </si>
  <si>
    <t>上海区域</t>
  </si>
  <si>
    <t>已支付</t>
  </si>
  <si>
    <t>发票作废</t>
  </si>
  <si>
    <t>郑十</t>
  </si>
  <si>
    <t>王总</t>
  </si>
  <si>
    <t>商品采购成本相关支出，上海区域区域</t>
  </si>
  <si>
    <t>2024-07-17</t>
  </si>
  <si>
    <t>智能硬件销售业务</t>
  </si>
  <si>
    <t>人事部</t>
  </si>
  <si>
    <t>智能硬件销售-2024年7月项目2</t>
  </si>
  <si>
    <t>收入</t>
  </si>
  <si>
    <t>主营业务收入</t>
  </si>
  <si>
    <t>硬件销售收入</t>
  </si>
  <si>
    <t>成都区域</t>
  </si>
  <si>
    <t>已回款</t>
  </si>
  <si>
    <t>发票作废</t>
  </si>
  <si>
    <t>郑十</t>
  </si>
  <si>
    <t>王总</t>
  </si>
  <si>
    <t>硬件销售收入相关收入，成都区域区域</t>
  </si>
  <si>
    <t>2024-07-05</t>
  </si>
  <si>
    <t>智能硬件销售业务</t>
  </si>
  <si>
    <t>财务部</t>
  </si>
  <si>
    <t>智能硬件销售-2024年7月项目8</t>
  </si>
  <si>
    <t>支出</t>
  </si>
  <si>
    <t>财务费用</t>
  </si>
  <si>
    <t>银行手续费</t>
  </si>
  <si>
    <t>成都区域</t>
  </si>
  <si>
    <t>已支付</t>
  </si>
  <si>
    <t>部分开票</t>
  </si>
  <si>
    <t>李四</t>
  </si>
  <si>
    <t>刘总</t>
  </si>
  <si>
    <t>银行手续费相关支出，成都区域区域</t>
  </si>
  <si>
    <t>2024-08-17</t>
  </si>
  <si>
    <t>ToC电商业务</t>
  </si>
  <si>
    <t>运营部</t>
  </si>
  <si>
    <t>ToC电商-2024年8月项目1</t>
  </si>
  <si>
    <t>支出</t>
  </si>
  <si>
    <t>研发费用</t>
  </si>
  <si>
    <t>测试验收费</t>
  </si>
  <si>
    <t>武汉区域</t>
  </si>
  <si>
    <t>已支付</t>
  </si>
  <si>
    <t>发票作废</t>
  </si>
  <si>
    <t>吴九</t>
  </si>
  <si>
    <t>刘总</t>
  </si>
  <si>
    <t>测试验收费相关支出，武汉区域区域</t>
  </si>
  <si>
    <t>2024-08-19</t>
  </si>
  <si>
    <t>ToB SaaS业务</t>
  </si>
  <si>
    <t>市场部</t>
  </si>
  <si>
    <t>ToB SaaS-2024年8月项目5</t>
  </si>
  <si>
    <t>支出</t>
  </si>
  <si>
    <t>管理费用</t>
  </si>
  <si>
    <t>办公费</t>
  </si>
  <si>
    <t>南京区域</t>
  </si>
  <si>
    <t>已支付</t>
  </si>
  <si>
    <t>未开票</t>
  </si>
  <si>
    <t>王五</t>
  </si>
  <si>
    <t>李总</t>
  </si>
  <si>
    <t>办公费相关支出，南京区域区域</t>
  </si>
  <si>
    <t>2024-08-13</t>
  </si>
  <si>
    <t>定制化服务业务</t>
  </si>
  <si>
    <t>销售部</t>
  </si>
  <si>
    <t>定制化服务-2024年8月项目4</t>
  </si>
  <si>
    <t>支出</t>
  </si>
  <si>
    <t>财务费用</t>
  </si>
  <si>
    <t>汇兑损益</t>
  </si>
  <si>
    <t>深圳区域</t>
  </si>
  <si>
    <t>已支付</t>
  </si>
  <si>
    <t>部分开票</t>
  </si>
  <si>
    <t>王五</t>
  </si>
  <si>
    <t>陈总</t>
  </si>
  <si>
    <t>汇兑损益相关支出，深圳区域区域</t>
  </si>
  <si>
    <t>2024-08-22</t>
  </si>
  <si>
    <t>智能硬件销售业务</t>
  </si>
  <si>
    <t>市场部</t>
  </si>
  <si>
    <t>智能硬件销售-2024年8月项目4</t>
  </si>
  <si>
    <t>收入</t>
  </si>
  <si>
    <t>营业外收入</t>
  </si>
  <si>
    <t>违约金收入</t>
  </si>
  <si>
    <t>成都区域</t>
  </si>
  <si>
    <t>部分回款</t>
  </si>
  <si>
    <t>发票作废</t>
  </si>
  <si>
    <t>李四</t>
  </si>
  <si>
    <t>刘总</t>
  </si>
  <si>
    <t>违约金收入相关收入，成都区域区域</t>
  </si>
  <si>
    <t>2024-08-16</t>
  </si>
  <si>
    <t>智能硬件销售业务</t>
  </si>
  <si>
    <t>人事部</t>
  </si>
  <si>
    <t>智能硬件销售-2024年8月项目3</t>
  </si>
  <si>
    <t>收入</t>
  </si>
  <si>
    <t>主营业务收入</t>
  </si>
  <si>
    <t>定制服务收入</t>
  </si>
  <si>
    <t>北京区域</t>
  </si>
  <si>
    <t>未回款</t>
  </si>
  <si>
    <t>发票作废</t>
  </si>
  <si>
    <t>赵六</t>
  </si>
  <si>
    <t>张总</t>
  </si>
  <si>
    <t>定制服务收入相关收入，北京区域区域</t>
  </si>
  <si>
    <t>2024-08-08</t>
  </si>
  <si>
    <t>定制化服务业务</t>
  </si>
  <si>
    <t>行政部</t>
  </si>
  <si>
    <t>定制化服务-2024年8月项目5</t>
  </si>
  <si>
    <t>支出</t>
  </si>
  <si>
    <t>财务费用</t>
  </si>
  <si>
    <t>汇兑损益</t>
  </si>
  <si>
    <t>广州区域</t>
  </si>
  <si>
    <t>已支付</t>
  </si>
  <si>
    <t>已开票</t>
  </si>
  <si>
    <t>赵六</t>
  </si>
  <si>
    <t>刘总</t>
  </si>
  <si>
    <t>汇兑损益相关支出，广州区域区域</t>
  </si>
  <si>
    <t>2024-08-01</t>
  </si>
  <si>
    <t>ToC电商业务</t>
  </si>
  <si>
    <t>运营部</t>
  </si>
  <si>
    <t>ToC电商-2024年8月项目4</t>
  </si>
  <si>
    <t>支出</t>
  </si>
  <si>
    <t>销售费用</t>
  </si>
  <si>
    <t>销售人员薪酬</t>
  </si>
  <si>
    <t>南京区域</t>
  </si>
  <si>
    <t>已支付</t>
  </si>
  <si>
    <t>已开票</t>
  </si>
  <si>
    <t>王五</t>
  </si>
  <si>
    <t>李总</t>
  </si>
  <si>
    <t>销售人员薪酬相关支出，南京区域区域</t>
  </si>
  <si>
    <t>2024-08-26</t>
  </si>
  <si>
    <t>定制化服务业务</t>
  </si>
  <si>
    <t>研发部</t>
  </si>
  <si>
    <t>定制化服务-2024年8月项目9</t>
  </si>
  <si>
    <t>支出</t>
  </si>
  <si>
    <t>财务费用</t>
  </si>
  <si>
    <t>利息支出</t>
  </si>
  <si>
    <t>广州区域</t>
  </si>
  <si>
    <t>已支付</t>
  </si>
  <si>
    <t>发票作废</t>
  </si>
  <si>
    <t>郑十</t>
  </si>
  <si>
    <t>陈总</t>
  </si>
  <si>
    <t>利息支出相关支出，广州区域区域</t>
  </si>
  <si>
    <t>2024-08-18</t>
  </si>
  <si>
    <t>定制化服务业务</t>
  </si>
  <si>
    <t>财务部</t>
  </si>
  <si>
    <t>定制化服务-2024年8月项目1</t>
  </si>
  <si>
    <t>收入</t>
  </si>
  <si>
    <t>主营业务收入</t>
  </si>
  <si>
    <t>硬件销售收入</t>
  </si>
  <si>
    <t>成都区域</t>
  </si>
  <si>
    <t>未回款</t>
  </si>
  <si>
    <t>发票作废</t>
  </si>
  <si>
    <t>周八</t>
  </si>
  <si>
    <t>李总</t>
  </si>
  <si>
    <t>硬件销售收入相关收入，成都区域区域</t>
  </si>
  <si>
    <t>2024-08-24</t>
  </si>
  <si>
    <t>智能硬件销售业务</t>
  </si>
  <si>
    <t>运营部</t>
  </si>
  <si>
    <t>智能硬件销售-2024年8月项目6</t>
  </si>
  <si>
    <t>收入</t>
  </si>
  <si>
    <t>营业外收入</t>
  </si>
  <si>
    <t>资产盘盈收入</t>
  </si>
  <si>
    <t>广州区域</t>
  </si>
  <si>
    <t>坏账</t>
  </si>
  <si>
    <t>未开票</t>
  </si>
  <si>
    <t>周八</t>
  </si>
  <si>
    <t>刘总</t>
  </si>
  <si>
    <t>资产盘盈收入相关收入，广州区域区域</t>
  </si>
  <si>
    <t>2024-08-08</t>
  </si>
  <si>
    <t>ToC电商业务</t>
  </si>
  <si>
    <t>行政部</t>
  </si>
  <si>
    <t>ToC电商-2024年8月项目7</t>
  </si>
  <si>
    <t>支出</t>
  </si>
  <si>
    <t>主营业务成本</t>
  </si>
  <si>
    <t>硬件生产成本</t>
  </si>
  <si>
    <t>广州区域</t>
  </si>
  <si>
    <t>已支付</t>
  </si>
  <si>
    <t>发票作废</t>
  </si>
  <si>
    <t>郑十</t>
  </si>
  <si>
    <t>王总</t>
  </si>
  <si>
    <t>硬件生产成本相关支出，广州区域区域</t>
  </si>
  <si>
    <t>2024-08-07</t>
  </si>
  <si>
    <t>ToC电商业务</t>
  </si>
  <si>
    <t>研发部</t>
  </si>
  <si>
    <t>ToC电商-2024年8月项目8</t>
  </si>
  <si>
    <t>支出</t>
  </si>
  <si>
    <t>营业外支出</t>
  </si>
  <si>
    <t>资产盘亏支出</t>
  </si>
  <si>
    <t>南京区域</t>
  </si>
  <si>
    <t>已支付</t>
  </si>
  <si>
    <t>发票作废</t>
  </si>
  <si>
    <t>赵六</t>
  </si>
  <si>
    <t>陈总</t>
  </si>
  <si>
    <t>资产盘亏支出相关支出，南京区域区域</t>
  </si>
  <si>
    <t>2024-08-06</t>
  </si>
  <si>
    <t>定制化服务业务</t>
  </si>
  <si>
    <t>行政部</t>
  </si>
  <si>
    <t>定制化服务-2024年8月项目3</t>
  </si>
  <si>
    <t>收入</t>
  </si>
  <si>
    <t>其他业务收入</t>
  </si>
  <si>
    <t>广告佣金收入</t>
  </si>
  <si>
    <t>武汉区域</t>
  </si>
  <si>
    <t>部分回款</t>
  </si>
  <si>
    <t>发票作废</t>
  </si>
  <si>
    <t>吴九</t>
  </si>
  <si>
    <t>陈总</t>
  </si>
  <si>
    <t>广告佣金收入相关收入，武汉区域区域</t>
  </si>
  <si>
    <t>2024-08-27</t>
  </si>
  <si>
    <t>智能硬件销售业务</t>
  </si>
  <si>
    <t>运营部</t>
  </si>
  <si>
    <t>智能硬件销售-2024年8月项目5</t>
  </si>
  <si>
    <t>支出</t>
  </si>
  <si>
    <t>主营业务成本</t>
  </si>
  <si>
    <t>物流配送成本</t>
  </si>
  <si>
    <t>广州区域</t>
  </si>
  <si>
    <t>已支付</t>
  </si>
  <si>
    <t>未开票</t>
  </si>
  <si>
    <t>赵六</t>
  </si>
  <si>
    <t>陈总</t>
  </si>
  <si>
    <t>物流配送成本相关支出，广州区域区域</t>
  </si>
  <si>
    <t>2024-08-27</t>
  </si>
  <si>
    <t>ToC电商业务</t>
  </si>
  <si>
    <t>行政部</t>
  </si>
  <si>
    <t>ToC电商-2024年8月项目4</t>
  </si>
  <si>
    <t>收入</t>
  </si>
  <si>
    <t>其他业务收入</t>
  </si>
  <si>
    <t>技术服务费收入</t>
  </si>
  <si>
    <t>上海区域</t>
  </si>
  <si>
    <t>坏账</t>
  </si>
  <si>
    <t>部分开票</t>
  </si>
  <si>
    <t>郑十</t>
  </si>
  <si>
    <t>刘总</t>
  </si>
  <si>
    <t>技术服务费收入相关收入，上海区域区域</t>
  </si>
  <si>
    <t>2024-09-18</t>
  </si>
  <si>
    <t>定制化服务业务</t>
  </si>
  <si>
    <t>行政部</t>
  </si>
  <si>
    <t>定制化服务-2024年9月项目10</t>
  </si>
  <si>
    <t>支出</t>
  </si>
  <si>
    <t>研发费用</t>
  </si>
  <si>
    <t>测试验收费</t>
  </si>
  <si>
    <t>广州区域</t>
  </si>
  <si>
    <t>已支付</t>
  </si>
  <si>
    <t>已开票</t>
  </si>
  <si>
    <t>王五</t>
  </si>
  <si>
    <t>张总</t>
  </si>
  <si>
    <t>测试验收费相关支出，广州区域区域</t>
  </si>
  <si>
    <t>2024-09-15</t>
  </si>
  <si>
    <t>智能硬件销售业务</t>
  </si>
  <si>
    <t>研发部</t>
  </si>
  <si>
    <t>智能硬件销售-2024年9月项目2</t>
  </si>
  <si>
    <t>支出</t>
  </si>
  <si>
    <t>销售费用</t>
  </si>
  <si>
    <t>业务招待费</t>
  </si>
  <si>
    <t>杭州区域</t>
  </si>
  <si>
    <t>已支付</t>
  </si>
  <si>
    <t>发票作废</t>
  </si>
  <si>
    <t>李四</t>
  </si>
  <si>
    <t>李总</t>
  </si>
  <si>
    <t>业务招待费相关支出，杭州区域区域</t>
  </si>
  <si>
    <t>2024-09-21</t>
  </si>
  <si>
    <t>智能硬件销售业务</t>
  </si>
  <si>
    <t>研发部</t>
  </si>
  <si>
    <t>智能硬件销售-2024年9月项目1</t>
  </si>
  <si>
    <t>收入</t>
  </si>
  <si>
    <t>其他业务收入</t>
  </si>
  <si>
    <t>技术服务费收入</t>
  </si>
  <si>
    <t>武汉区域</t>
  </si>
  <si>
    <t>已回款</t>
  </si>
  <si>
    <t>未开票</t>
  </si>
  <si>
    <t>孙七</t>
  </si>
  <si>
    <t>张总</t>
  </si>
  <si>
    <t>技术服务费收入相关收入，武汉区域区域</t>
  </si>
  <si>
    <t>2024-09-13</t>
  </si>
  <si>
    <t>ToB SaaS业务</t>
  </si>
  <si>
    <t>运营部</t>
  </si>
  <si>
    <t>ToB SaaS-2024年9月项目8</t>
  </si>
  <si>
    <t>支出</t>
  </si>
  <si>
    <t>销售费用</t>
  </si>
  <si>
    <t>差旅费</t>
  </si>
  <si>
    <t>杭州区域</t>
  </si>
  <si>
    <t>已支付</t>
  </si>
  <si>
    <t>未开票</t>
  </si>
  <si>
    <t>张三</t>
  </si>
  <si>
    <t>刘总</t>
  </si>
  <si>
    <t>差旅费相关支出，杭州区域区域</t>
  </si>
  <si>
    <t>2024-09-13</t>
  </si>
  <si>
    <t>智能硬件销售业务</t>
  </si>
  <si>
    <t>财务部</t>
  </si>
  <si>
    <t>智能硬件销售-2024年9月项目2</t>
  </si>
  <si>
    <t>收入</t>
  </si>
  <si>
    <t>主营业务收入</t>
  </si>
  <si>
    <t>定制服务收入</t>
  </si>
  <si>
    <t>杭州区域</t>
  </si>
  <si>
    <t>部分回款</t>
  </si>
  <si>
    <t>部分开票</t>
  </si>
  <si>
    <t>王五</t>
  </si>
  <si>
    <t>李总</t>
  </si>
  <si>
    <t>定制服务收入相关收入，杭州区域区域</t>
  </si>
  <si>
    <t>2024-09-06</t>
  </si>
  <si>
    <t>定制化服务业务</t>
  </si>
  <si>
    <t>行政部</t>
  </si>
  <si>
    <t>定制化服务-2024年9月项目10</t>
  </si>
  <si>
    <t>支出</t>
  </si>
  <si>
    <t>销售费用</t>
  </si>
  <si>
    <t>差旅费</t>
  </si>
  <si>
    <t>武汉区域</t>
  </si>
  <si>
    <t>已支付</t>
  </si>
  <si>
    <t>发票作废</t>
  </si>
  <si>
    <t>赵六</t>
  </si>
  <si>
    <t>李总</t>
  </si>
  <si>
    <t>差旅费相关支出，武汉区域区域</t>
  </si>
  <si>
    <t>2024-09-20</t>
  </si>
  <si>
    <t>ToB SaaS业务</t>
  </si>
  <si>
    <t>运营部</t>
  </si>
  <si>
    <t>ToB SaaS-2024年9月项目1</t>
  </si>
  <si>
    <t>支出</t>
  </si>
  <si>
    <t>财务费用</t>
  </si>
  <si>
    <t>汇兑损益</t>
  </si>
  <si>
    <t>成都区域</t>
  </si>
  <si>
    <t>已支付</t>
  </si>
  <si>
    <t>部分开票</t>
  </si>
  <si>
    <t>张三</t>
  </si>
  <si>
    <t>王总</t>
  </si>
  <si>
    <t>汇兑损益相关支出，成都区域区域</t>
  </si>
  <si>
    <t>2024-09-25</t>
  </si>
  <si>
    <t>ToC电商业务</t>
  </si>
  <si>
    <t>市场部</t>
  </si>
  <si>
    <t>ToC电商-2024年9月项目5</t>
  </si>
  <si>
    <t>支出</t>
  </si>
  <si>
    <t>财务费用</t>
  </si>
  <si>
    <t>利息支出</t>
  </si>
  <si>
    <t>广州区域</t>
  </si>
  <si>
    <t>已支付</t>
  </si>
  <si>
    <t>未开票</t>
  </si>
  <si>
    <t>赵六</t>
  </si>
  <si>
    <t>陈总</t>
  </si>
  <si>
    <t>利息支出相关支出，广州区域区域</t>
  </si>
  <si>
    <t>2024-09-06</t>
  </si>
  <si>
    <t>定制化服务业务</t>
  </si>
  <si>
    <t>行政部</t>
  </si>
  <si>
    <t>定制化服务-2024年9月项目5</t>
  </si>
  <si>
    <t>收入</t>
  </si>
  <si>
    <t>主营业务收入</t>
  </si>
  <si>
    <t>硬件销售收入</t>
  </si>
  <si>
    <t>北京区域</t>
  </si>
  <si>
    <t>坏账</t>
  </si>
  <si>
    <t>部分开票</t>
  </si>
  <si>
    <t>郑十</t>
  </si>
  <si>
    <t>陈总</t>
  </si>
  <si>
    <t>硬件销售收入相关收入，北京区域区域</t>
  </si>
  <si>
    <t>2024-09-20</t>
  </si>
  <si>
    <t>定制化服务业务</t>
  </si>
  <si>
    <t>行政部</t>
  </si>
  <si>
    <t>定制化服务-2024年9月项目3</t>
  </si>
  <si>
    <t>支出</t>
  </si>
  <si>
    <t>财务费用</t>
  </si>
  <si>
    <t>利息支出</t>
  </si>
  <si>
    <t>成都区域</t>
  </si>
  <si>
    <t>已支付</t>
  </si>
  <si>
    <t>未开票</t>
  </si>
  <si>
    <t>李四</t>
  </si>
  <si>
    <t>李总</t>
  </si>
  <si>
    <t>利息支出相关支出，成都区域区域</t>
  </si>
  <si>
    <t>2024-09-04</t>
  </si>
  <si>
    <t>ToC电商业务</t>
  </si>
  <si>
    <t>人事部</t>
  </si>
  <si>
    <t>ToC电商-2024年9月项目3</t>
  </si>
  <si>
    <t>收入</t>
  </si>
  <si>
    <t>主营业务收入</t>
  </si>
  <si>
    <t>SaaS订阅收入</t>
  </si>
  <si>
    <t>北京区域</t>
  </si>
  <si>
    <t>坏账</t>
  </si>
  <si>
    <t>已开票</t>
  </si>
  <si>
    <t>周八</t>
  </si>
  <si>
    <t>张总</t>
  </si>
  <si>
    <t>SaaS订阅收入相关收入，北京区域区域</t>
  </si>
  <si>
    <t>2024-09-26</t>
  </si>
  <si>
    <t>ToC电商业务</t>
  </si>
  <si>
    <t>研发部</t>
  </si>
  <si>
    <t>ToC电商-2024年9月项目10</t>
  </si>
  <si>
    <t>支出</t>
  </si>
  <si>
    <t>营业外支出</t>
  </si>
  <si>
    <t>违约金支出</t>
  </si>
  <si>
    <t>上海区域</t>
  </si>
  <si>
    <t>已支付</t>
  </si>
  <si>
    <t>未开票</t>
  </si>
  <si>
    <t>周八</t>
  </si>
  <si>
    <t>陈总</t>
  </si>
  <si>
    <t>违约金支出相关支出，上海区域区域</t>
  </si>
  <si>
    <t>2024-09-08</t>
  </si>
  <si>
    <t>ToB SaaS业务</t>
  </si>
  <si>
    <t>销售部</t>
  </si>
  <si>
    <t>ToB SaaS-2024年9月项目7</t>
  </si>
  <si>
    <t>支出</t>
  </si>
  <si>
    <t>销售费用</t>
  </si>
  <si>
    <t>差旅费</t>
  </si>
  <si>
    <t>深圳区域</t>
  </si>
  <si>
    <t>已支付</t>
  </si>
  <si>
    <t>部分开票</t>
  </si>
  <si>
    <t>张三</t>
  </si>
  <si>
    <t>王总</t>
  </si>
  <si>
    <t>差旅费相关支出，深圳区域区域</t>
  </si>
  <si>
    <t>2024-09-18</t>
  </si>
  <si>
    <t>智能硬件销售业务</t>
  </si>
  <si>
    <t>运营部</t>
  </si>
  <si>
    <t>智能硬件销售-2024年9月项目6</t>
  </si>
  <si>
    <t>收入</t>
  </si>
  <si>
    <t>其他业务收入</t>
  </si>
  <si>
    <t>技术服务费收入</t>
  </si>
  <si>
    <t>武汉区域</t>
  </si>
  <si>
    <t>未回款</t>
  </si>
  <si>
    <t>未开票</t>
  </si>
  <si>
    <t>郑十</t>
  </si>
  <si>
    <t>王总</t>
  </si>
  <si>
    <t>技术服务费收入相关收入，武汉区域区域</t>
  </si>
  <si>
    <t>2024-09-21</t>
  </si>
  <si>
    <t>定制化服务业务</t>
  </si>
  <si>
    <t>运营部</t>
  </si>
  <si>
    <t>定制化服务-2024年9月项目9</t>
  </si>
  <si>
    <t>支出</t>
  </si>
  <si>
    <t>研发费用</t>
  </si>
  <si>
    <t>设备采购费</t>
  </si>
  <si>
    <t>南京区域</t>
  </si>
  <si>
    <t>已支付</t>
  </si>
  <si>
    <t>发票作废</t>
  </si>
  <si>
    <t>赵六</t>
  </si>
  <si>
    <t>刘总</t>
  </si>
  <si>
    <t>设备采购费相关支出，南京区域区域</t>
  </si>
  <si>
    <t>2024-10-19</t>
  </si>
  <si>
    <t>定制化服务业务</t>
  </si>
  <si>
    <t>运营部</t>
  </si>
  <si>
    <t>定制化服务-2024年10月项目3</t>
  </si>
  <si>
    <t>支出</t>
  </si>
  <si>
    <t>管理费用</t>
  </si>
  <si>
    <t>管理人员薪酬</t>
  </si>
  <si>
    <t>上海区域</t>
  </si>
  <si>
    <t>已支付</t>
  </si>
  <si>
    <t>发票作废</t>
  </si>
  <si>
    <t>王五</t>
  </si>
  <si>
    <t>刘总</t>
  </si>
  <si>
    <t>管理人员薪酬相关支出，上海区域区域</t>
  </si>
  <si>
    <t>2024-10-27</t>
  </si>
  <si>
    <t>智能硬件销售业务</t>
  </si>
  <si>
    <t>财务部</t>
  </si>
  <si>
    <t>智能硬件销售-2024年10月项目8</t>
  </si>
  <si>
    <t>支出</t>
  </si>
  <si>
    <t>销售费用</t>
  </si>
  <si>
    <t>渠道佣金</t>
  </si>
  <si>
    <t>北京区域</t>
  </si>
  <si>
    <t>已支付</t>
  </si>
  <si>
    <t>已开票</t>
  </si>
  <si>
    <t>郑十</t>
  </si>
  <si>
    <t>王总</t>
  </si>
  <si>
    <t>渠道佣金相关支出，北京区域区域</t>
  </si>
  <si>
    <t>2024-10-19</t>
  </si>
  <si>
    <t>ToC电商业务</t>
  </si>
  <si>
    <t>运营部</t>
  </si>
  <si>
    <t>ToC电商-2024年10月项目9</t>
  </si>
  <si>
    <t>支出</t>
  </si>
  <si>
    <t>营业外支出</t>
  </si>
  <si>
    <t>捐赠支出</t>
  </si>
  <si>
    <t>南京区域</t>
  </si>
  <si>
    <t>已支付</t>
  </si>
  <si>
    <t>未开票</t>
  </si>
  <si>
    <t>张三</t>
  </si>
  <si>
    <t>李总</t>
  </si>
  <si>
    <t>捐赠支出相关支出，南京区域区域</t>
  </si>
  <si>
    <t>2024-10-03</t>
  </si>
  <si>
    <t>定制化服务业务</t>
  </si>
  <si>
    <t>运营部</t>
  </si>
  <si>
    <t>定制化服务-2024年10月项目1</t>
  </si>
  <si>
    <t>支出</t>
  </si>
  <si>
    <t>营业外支出</t>
  </si>
  <si>
    <t>资产盘亏支出</t>
  </si>
  <si>
    <t>上海区域</t>
  </si>
  <si>
    <t>已支付</t>
  </si>
  <si>
    <t>部分开票</t>
  </si>
  <si>
    <t>吴九</t>
  </si>
  <si>
    <t>王总</t>
  </si>
  <si>
    <t>资产盘亏支出相关支出，上海区域区域</t>
  </si>
  <si>
    <t>2024-10-15</t>
  </si>
  <si>
    <t>ToC电商业务</t>
  </si>
  <si>
    <t>研发部</t>
  </si>
  <si>
    <t>ToC电商-2024年10月项目9</t>
  </si>
  <si>
    <t>收入</t>
  </si>
  <si>
    <t>其他业务收入</t>
  </si>
  <si>
    <t>场地租赁收入</t>
  </si>
  <si>
    <t>广州区域</t>
  </si>
  <si>
    <t>未回款</t>
  </si>
  <si>
    <t>部分开票</t>
  </si>
  <si>
    <t>周八</t>
  </si>
  <si>
    <t>张总</t>
  </si>
  <si>
    <t>场地租赁收入相关收入，广州区域区域</t>
  </si>
  <si>
    <t>2024-10-21</t>
  </si>
  <si>
    <t>ToC电商业务</t>
  </si>
  <si>
    <t>运营部</t>
  </si>
  <si>
    <t>ToC电商-2024年10月项目10</t>
  </si>
  <si>
    <t>支出</t>
  </si>
  <si>
    <t>营业外支出</t>
  </si>
  <si>
    <t>违约金支出</t>
  </si>
  <si>
    <t>杭州区域</t>
  </si>
  <si>
    <t>已支付</t>
  </si>
  <si>
    <t>部分开票</t>
  </si>
  <si>
    <t>王五</t>
  </si>
  <si>
    <t>李总</t>
  </si>
  <si>
    <t>违约金支出相关支出，杭州区域区域</t>
  </si>
  <si>
    <t>2024-10-26</t>
  </si>
  <si>
    <t>ToC电商业务</t>
  </si>
  <si>
    <t>运营部</t>
  </si>
  <si>
    <t>ToC电商-2024年10月项目10</t>
  </si>
  <si>
    <t>支出</t>
  </si>
  <si>
    <t>营业外支出</t>
  </si>
  <si>
    <t>违约金支出</t>
  </si>
  <si>
    <t>广州区域</t>
  </si>
  <si>
    <t>已支付</t>
  </si>
  <si>
    <t>已开票</t>
  </si>
  <si>
    <t>王五</t>
  </si>
  <si>
    <t>王总</t>
  </si>
  <si>
    <t>违约金支出相关支出，广州区域区域</t>
  </si>
  <si>
    <t>2024-10-19</t>
  </si>
  <si>
    <t>定制化服务业务</t>
  </si>
  <si>
    <t>销售部</t>
  </si>
  <si>
    <t>定制化服务-2024年10月项目5</t>
  </si>
  <si>
    <t>收入</t>
  </si>
  <si>
    <t>营业外收入</t>
  </si>
  <si>
    <t>违约金收入</t>
  </si>
  <si>
    <t>北京区域</t>
  </si>
  <si>
    <t>未回款</t>
  </si>
  <si>
    <t>发票作废</t>
  </si>
  <si>
    <t>李四</t>
  </si>
  <si>
    <t>陈总</t>
  </si>
  <si>
    <t>违约金收入相关收入，北京区域区域</t>
  </si>
  <si>
    <t>2024-10-20</t>
  </si>
  <si>
    <t>ToB SaaS业务</t>
  </si>
  <si>
    <t>人事部</t>
  </si>
  <si>
    <t>ToB SaaS-2024年10月项目6</t>
  </si>
  <si>
    <t>支出</t>
  </si>
  <si>
    <t>销售费用</t>
  </si>
  <si>
    <t>市场推广费</t>
  </si>
  <si>
    <t>成都区域</t>
  </si>
  <si>
    <t>已支付</t>
  </si>
  <si>
    <t>发票作废</t>
  </si>
  <si>
    <t>孙七</t>
  </si>
  <si>
    <t>李总</t>
  </si>
  <si>
    <t>市场推广费相关支出，成都区域区域</t>
  </si>
  <si>
    <t>2024-10-19</t>
  </si>
  <si>
    <t>智能硬件销售业务</t>
  </si>
  <si>
    <t>行政部</t>
  </si>
  <si>
    <t>智能硬件销售-2024年10月项目4</t>
  </si>
  <si>
    <t>支出</t>
  </si>
  <si>
    <t>销售费用</t>
  </si>
  <si>
    <t>销售人员薪酬</t>
  </si>
  <si>
    <t>北京区域</t>
  </si>
  <si>
    <t>已支付</t>
  </si>
  <si>
    <t>部分开票</t>
  </si>
  <si>
    <t>赵六</t>
  </si>
  <si>
    <t>李总</t>
  </si>
  <si>
    <t>销售人员薪酬相关支出，北京区域区域</t>
  </si>
  <si>
    <t>2024-10-03</t>
  </si>
  <si>
    <t>ToB SaaS业务</t>
  </si>
  <si>
    <t>财务部</t>
  </si>
  <si>
    <t>ToB SaaS-2024年10月项目7</t>
  </si>
  <si>
    <t>收入</t>
  </si>
  <si>
    <t>其他业务收入</t>
  </si>
  <si>
    <t>场地租赁收入</t>
  </si>
  <si>
    <t>杭州区域</t>
  </si>
  <si>
    <t>坏账</t>
  </si>
  <si>
    <t>部分开票</t>
  </si>
  <si>
    <t>郑十</t>
  </si>
  <si>
    <t>张总</t>
  </si>
  <si>
    <t>场地租赁收入相关收入，杭州区域区域</t>
  </si>
  <si>
    <t>2024-10-15</t>
  </si>
  <si>
    <t>ToB SaaS业务</t>
  </si>
  <si>
    <t>运营部</t>
  </si>
  <si>
    <t>ToB SaaS-2024年10月项目1</t>
  </si>
  <si>
    <t>收入</t>
  </si>
  <si>
    <t>营业外收入</t>
  </si>
  <si>
    <t>违约金收入</t>
  </si>
  <si>
    <t>北京区域</t>
  </si>
  <si>
    <t>未回款</t>
  </si>
  <si>
    <t>发票作废</t>
  </si>
  <si>
    <t>周八</t>
  </si>
  <si>
    <t>李总</t>
  </si>
  <si>
    <t>违约金收入相关收入，北京区域区域</t>
  </si>
  <si>
    <t>2024-10-15</t>
  </si>
  <si>
    <t>定制化服务业务</t>
  </si>
  <si>
    <t>人事部</t>
  </si>
  <si>
    <t>定制化服务-2024年10月项目10</t>
  </si>
  <si>
    <t>支出</t>
  </si>
  <si>
    <t>研发费用</t>
  </si>
  <si>
    <t>技术研发费</t>
  </si>
  <si>
    <t>上海区域</t>
  </si>
  <si>
    <t>已支付</t>
  </si>
  <si>
    <t>未开票</t>
  </si>
  <si>
    <t>周八</t>
  </si>
  <si>
    <t>张总</t>
  </si>
  <si>
    <t>技术研发费相关支出，上海区域区域</t>
  </si>
  <si>
    <t>2024-10-13</t>
  </si>
  <si>
    <t>智能硬件销售业务</t>
  </si>
  <si>
    <t>销售部</t>
  </si>
  <si>
    <t>智能硬件销售-2024年10月项目7</t>
  </si>
  <si>
    <t>收入</t>
  </si>
  <si>
    <t>营业外收入</t>
  </si>
  <si>
    <t>违约金收入</t>
  </si>
  <si>
    <t>北京区域</t>
  </si>
  <si>
    <t>已回款</t>
  </si>
  <si>
    <t>已开票</t>
  </si>
  <si>
    <t>周八</t>
  </si>
  <si>
    <t>王总</t>
  </si>
  <si>
    <t>违约金收入相关收入，北京区域区域</t>
  </si>
  <si>
    <t>2024-10-10</t>
  </si>
  <si>
    <t>智能硬件销售业务</t>
  </si>
  <si>
    <t>销售部</t>
  </si>
  <si>
    <t>智能硬件销售-2024年10月项目3</t>
  </si>
  <si>
    <t>收入</t>
  </si>
  <si>
    <t>主营业务收入</t>
  </si>
  <si>
    <t>SaaS订阅收入</t>
  </si>
  <si>
    <t>广州区域</t>
  </si>
  <si>
    <t>未回款</t>
  </si>
  <si>
    <t>未开票</t>
  </si>
  <si>
    <t>王五</t>
  </si>
  <si>
    <t>陈总</t>
  </si>
  <si>
    <t>SaaS订阅收入相关收入，广州区域区域</t>
  </si>
  <si>
    <t>2024-11-17</t>
  </si>
  <si>
    <t>定制化服务业务</t>
  </si>
  <si>
    <t>运营部</t>
  </si>
  <si>
    <t>定制化服务-2024年11月项目10</t>
  </si>
  <si>
    <t>支出</t>
  </si>
  <si>
    <t>主营业务成本</t>
  </si>
  <si>
    <t>硬件生产成本</t>
  </si>
  <si>
    <t>深圳区域</t>
  </si>
  <si>
    <t>已支付</t>
  </si>
  <si>
    <t>未开票</t>
  </si>
  <si>
    <t>张三</t>
  </si>
  <si>
    <t>张总</t>
  </si>
  <si>
    <t>硬件生产成本相关支出，深圳区域区域</t>
  </si>
  <si>
    <t>2024-11-09</t>
  </si>
  <si>
    <t>ToB SaaS业务</t>
  </si>
  <si>
    <t>人事部</t>
  </si>
  <si>
    <t>ToB SaaS-2024年11月项目2</t>
  </si>
  <si>
    <t>收入</t>
  </si>
  <si>
    <t>主营业务收入</t>
  </si>
  <si>
    <t>SaaS订阅收入</t>
  </si>
  <si>
    <t>南京区域</t>
  </si>
  <si>
    <t>部分回款</t>
  </si>
  <si>
    <t>未开票</t>
  </si>
  <si>
    <t>周八</t>
  </si>
  <si>
    <t>王总</t>
  </si>
  <si>
    <t>SaaS订阅收入相关收入，南京区域区域</t>
  </si>
  <si>
    <t>2024-11-06</t>
  </si>
  <si>
    <t>智能硬件销售业务</t>
  </si>
  <si>
    <t>运营部</t>
  </si>
  <si>
    <t>智能硬件销售-2024年11月项目4</t>
  </si>
  <si>
    <t>支出</t>
  </si>
  <si>
    <t>销售费用</t>
  </si>
  <si>
    <t>市场推广费</t>
  </si>
  <si>
    <t>广州区域</t>
  </si>
  <si>
    <t>已支付</t>
  </si>
  <si>
    <t>未开票</t>
  </si>
  <si>
    <t>吴九</t>
  </si>
  <si>
    <t>王总</t>
  </si>
  <si>
    <t>市场推广费相关支出，广州区域区域</t>
  </si>
  <si>
    <t>2024-11-08</t>
  </si>
  <si>
    <t>智能硬件销售业务</t>
  </si>
  <si>
    <t>行政部</t>
  </si>
  <si>
    <t>智能硬件销售-2024年11月项目8</t>
  </si>
  <si>
    <t>收入</t>
  </si>
  <si>
    <t>其他业务收入</t>
  </si>
  <si>
    <t>场地租赁收入</t>
  </si>
  <si>
    <t>广州区域</t>
  </si>
  <si>
    <t>坏账</t>
  </si>
  <si>
    <t>部分开票</t>
  </si>
  <si>
    <t>吴九</t>
  </si>
  <si>
    <t>王总</t>
  </si>
  <si>
    <t>场地租赁收入相关收入，广州区域区域</t>
  </si>
  <si>
    <t>2024-11-10</t>
  </si>
  <si>
    <t>智能硬件销售业务</t>
  </si>
  <si>
    <t>财务部</t>
  </si>
  <si>
    <t>智能硬件销售-2024年11月项目9</t>
  </si>
  <si>
    <t>支出</t>
  </si>
  <si>
    <t>财务费用</t>
  </si>
  <si>
    <t>银行手续费</t>
  </si>
  <si>
    <t>北京区域</t>
  </si>
  <si>
    <t>已支付</t>
  </si>
  <si>
    <t>部分开票</t>
  </si>
  <si>
    <t>赵六</t>
  </si>
  <si>
    <t>王总</t>
  </si>
  <si>
    <t>银行手续费相关支出，北京区域区域</t>
  </si>
  <si>
    <t>2024-11-06</t>
  </si>
  <si>
    <t>智能硬件销售业务</t>
  </si>
  <si>
    <t>研发部</t>
  </si>
  <si>
    <t>智能硬件销售-2024年11月项目4</t>
  </si>
  <si>
    <t>支出</t>
  </si>
  <si>
    <t>主营业务成本</t>
  </si>
  <si>
    <t>物流配送成本</t>
  </si>
  <si>
    <t>杭州区域</t>
  </si>
  <si>
    <t>已支付</t>
  </si>
  <si>
    <t>未开票</t>
  </si>
  <si>
    <t>张三</t>
  </si>
  <si>
    <t>刘总</t>
  </si>
  <si>
    <t>物流配送成本相关支出，杭州区域区域</t>
  </si>
  <si>
    <t>2024-11-07</t>
  </si>
  <si>
    <t>智能硬件销售业务</t>
  </si>
  <si>
    <t>财务部</t>
  </si>
  <si>
    <t>智能硬件销售-2024年11月项目2</t>
  </si>
  <si>
    <t>收入</t>
  </si>
  <si>
    <t>其他业务收入</t>
  </si>
  <si>
    <t>场地租赁收入</t>
  </si>
  <si>
    <t>杭州区域</t>
  </si>
  <si>
    <t>部分回款</t>
  </si>
  <si>
    <t>未开票</t>
  </si>
  <si>
    <t>王五</t>
  </si>
  <si>
    <t>张总</t>
  </si>
  <si>
    <t>场地租赁收入相关收入，杭州区域区域</t>
  </si>
  <si>
    <t>2024-11-09</t>
  </si>
  <si>
    <t>定制化服务业务</t>
  </si>
  <si>
    <t>市场部</t>
  </si>
  <si>
    <t>定制化服务-2024年11月项目5</t>
  </si>
  <si>
    <t>收入</t>
  </si>
  <si>
    <t>营业外收入</t>
  </si>
  <si>
    <t>违约金收入</t>
  </si>
  <si>
    <t>杭州区域</t>
  </si>
  <si>
    <t>坏账</t>
  </si>
  <si>
    <t>部分开票</t>
  </si>
  <si>
    <t>吴九</t>
  </si>
  <si>
    <t>张总</t>
  </si>
  <si>
    <t>违约金收入相关收入，杭州区域区域</t>
  </si>
  <si>
    <t>2024-11-19</t>
  </si>
  <si>
    <t>ToC电商业务</t>
  </si>
  <si>
    <t>研发部</t>
  </si>
  <si>
    <t>ToC电商-2024年11月项目1</t>
  </si>
  <si>
    <t>收入</t>
  </si>
  <si>
    <t>主营业务收入</t>
  </si>
  <si>
    <t>硬件销售收入</t>
  </si>
  <si>
    <t>广州区域</t>
  </si>
  <si>
    <t>未回款</t>
  </si>
  <si>
    <t>发票作废</t>
  </si>
  <si>
    <t>赵六</t>
  </si>
  <si>
    <t>李总</t>
  </si>
  <si>
    <t>硬件销售收入相关收入，广州区域区域</t>
  </si>
  <si>
    <t>2024-11-18</t>
  </si>
  <si>
    <t>定制化服务业务</t>
  </si>
  <si>
    <t>财务部</t>
  </si>
  <si>
    <t>定制化服务-2024年11月项目2</t>
  </si>
  <si>
    <t>支出</t>
  </si>
  <si>
    <t>财务费用</t>
  </si>
  <si>
    <t>银行手续费</t>
  </si>
  <si>
    <t>成都区域</t>
  </si>
  <si>
    <t>已支付</t>
  </si>
  <si>
    <t>发票作废</t>
  </si>
  <si>
    <t>孙七</t>
  </si>
  <si>
    <t>刘总</t>
  </si>
  <si>
    <t>银行手续费相关支出，成都区域区域</t>
  </si>
  <si>
    <t>2024-11-18</t>
  </si>
  <si>
    <t>ToB SaaS业务</t>
  </si>
  <si>
    <t>行政部</t>
  </si>
  <si>
    <t>ToB SaaS-2024年11月项目8</t>
  </si>
  <si>
    <t>收入</t>
  </si>
  <si>
    <t>主营业务收入</t>
  </si>
  <si>
    <t>硬件销售收入</t>
  </si>
  <si>
    <t>上海区域</t>
  </si>
  <si>
    <t>已回款</t>
  </si>
  <si>
    <t>部分开票</t>
  </si>
  <si>
    <t>张三</t>
  </si>
  <si>
    <t>王总</t>
  </si>
  <si>
    <t>硬件销售收入相关收入，上海区域区域</t>
  </si>
  <si>
    <t>2024-11-21</t>
  </si>
  <si>
    <t>智能硬件销售业务</t>
  </si>
  <si>
    <t>行政部</t>
  </si>
  <si>
    <t>智能硬件销售-2024年11月项目6</t>
  </si>
  <si>
    <t>收入</t>
  </si>
  <si>
    <t>主营业务收入</t>
  </si>
  <si>
    <t>定制服务收入</t>
  </si>
  <si>
    <t>成都区域</t>
  </si>
  <si>
    <t>坏账</t>
  </si>
  <si>
    <t>发票作废</t>
  </si>
  <si>
    <t>李四</t>
  </si>
  <si>
    <t>刘总</t>
  </si>
  <si>
    <t>定制服务收入相关收入，成都区域区域</t>
  </si>
  <si>
    <t>2024-11-16</t>
  </si>
  <si>
    <t>ToC电商业务</t>
  </si>
  <si>
    <t>市场部</t>
  </si>
  <si>
    <t>ToC电商-2024年11月项目10</t>
  </si>
  <si>
    <t>支出</t>
  </si>
  <si>
    <t>研发费用</t>
  </si>
  <si>
    <t>设备采购费</t>
  </si>
  <si>
    <t>上海区域</t>
  </si>
  <si>
    <t>已支付</t>
  </si>
  <si>
    <t>未开票</t>
  </si>
  <si>
    <t>赵六</t>
  </si>
  <si>
    <t>张总</t>
  </si>
  <si>
    <t>设备采购费相关支出，上海区域区域</t>
  </si>
  <si>
    <t>2024-11-24</t>
  </si>
  <si>
    <t>ToB SaaS业务</t>
  </si>
  <si>
    <t>销售部</t>
  </si>
  <si>
    <t>ToB SaaS-2024年11月项目7</t>
  </si>
  <si>
    <t>收入</t>
  </si>
  <si>
    <t>营业外收入</t>
  </si>
  <si>
    <t>违约金收入</t>
  </si>
  <si>
    <t>南京区域</t>
  </si>
  <si>
    <t>未回款</t>
  </si>
  <si>
    <t>发票作废</t>
  </si>
  <si>
    <t>张三</t>
  </si>
  <si>
    <t>张总</t>
  </si>
  <si>
    <t>违约金收入相关收入，南京区域区域</t>
  </si>
  <si>
    <t>2024-11-24</t>
  </si>
  <si>
    <t>智能硬件销售业务</t>
  </si>
  <si>
    <t>市场部</t>
  </si>
  <si>
    <t>智能硬件销售-2024年11月项目3</t>
  </si>
  <si>
    <t>支出</t>
  </si>
  <si>
    <t>主营业务成本</t>
  </si>
  <si>
    <t>技术服务成本</t>
  </si>
  <si>
    <t>北京区域</t>
  </si>
  <si>
    <t>已支付</t>
  </si>
  <si>
    <t>发票作废</t>
  </si>
  <si>
    <t>孙七</t>
  </si>
  <si>
    <t>李总</t>
  </si>
  <si>
    <t>技术服务成本相关支出，北京区域区域</t>
  </si>
  <si>
    <t>2024-12-25</t>
  </si>
  <si>
    <t>ToB SaaS业务</t>
  </si>
  <si>
    <t>人事部</t>
  </si>
  <si>
    <t>ToB SaaS-2024年12月项目3</t>
  </si>
  <si>
    <t>支出</t>
  </si>
  <si>
    <t>研发费用</t>
  </si>
  <si>
    <t>测试验收费</t>
  </si>
  <si>
    <t>北京区域</t>
  </si>
  <si>
    <t>已支付</t>
  </si>
  <si>
    <t>已开票</t>
  </si>
  <si>
    <t>张三</t>
  </si>
  <si>
    <t>刘总</t>
  </si>
  <si>
    <t>测试验收费相关支出，北京区域区域</t>
  </si>
  <si>
    <t>2024-12-16</t>
  </si>
  <si>
    <t>ToC电商业务</t>
  </si>
  <si>
    <t>行政部</t>
  </si>
  <si>
    <t>ToC电商-2024年12月项目7</t>
  </si>
  <si>
    <t>支出</t>
  </si>
  <si>
    <t>主营业务成本</t>
  </si>
  <si>
    <t>物流配送成本</t>
  </si>
  <si>
    <t>武汉区域</t>
  </si>
  <si>
    <t>已支付</t>
  </si>
  <si>
    <t>已开票</t>
  </si>
  <si>
    <t>孙七</t>
  </si>
  <si>
    <t>李总</t>
  </si>
  <si>
    <t>物流配送成本相关支出，武汉区域区域</t>
  </si>
  <si>
    <t>2024-12-28</t>
  </si>
  <si>
    <t>定制化服务业务</t>
  </si>
  <si>
    <t>运营部</t>
  </si>
  <si>
    <t>定制化服务-2024年12月项目4</t>
  </si>
  <si>
    <t>收入</t>
  </si>
  <si>
    <t>主营业务收入</t>
  </si>
  <si>
    <t>SaaS订阅收入</t>
  </si>
  <si>
    <t>北京区域</t>
  </si>
  <si>
    <t>未回款</t>
  </si>
  <si>
    <t>已开票</t>
  </si>
  <si>
    <t>张三</t>
  </si>
  <si>
    <t>陈总</t>
  </si>
  <si>
    <t>SaaS订阅收入相关收入，北京区域区域</t>
  </si>
  <si>
    <t>2024-12-23</t>
  </si>
  <si>
    <t>ToC电商业务</t>
  </si>
  <si>
    <t>财务部</t>
  </si>
  <si>
    <t>ToC电商-2024年12月项目5</t>
  </si>
  <si>
    <t>收入</t>
  </si>
  <si>
    <t>其他业务收入</t>
  </si>
  <si>
    <t>场地租赁收入</t>
  </si>
  <si>
    <t>成都区域</t>
  </si>
  <si>
    <t>未回款</t>
  </si>
  <si>
    <t>未开票</t>
  </si>
  <si>
    <t>李四</t>
  </si>
  <si>
    <t>张总</t>
  </si>
  <si>
    <t>场地租赁收入相关收入，成都区域区域</t>
  </si>
  <si>
    <t>2024-12-12</t>
  </si>
  <si>
    <t>ToC电商业务</t>
  </si>
  <si>
    <t>市场部</t>
  </si>
  <si>
    <t>ToC电商-2024年12月项目10</t>
  </si>
  <si>
    <t>支出</t>
  </si>
  <si>
    <t>管理费用</t>
  </si>
  <si>
    <t>管理人员薪酬</t>
  </si>
  <si>
    <t>北京区域</t>
  </si>
  <si>
    <t>已支付</t>
  </si>
  <si>
    <t>已开票</t>
  </si>
  <si>
    <t>李四</t>
  </si>
  <si>
    <t>张总</t>
  </si>
  <si>
    <t>管理人员薪酬相关支出，北京区域区域</t>
  </si>
  <si>
    <t>2024-12-11</t>
  </si>
  <si>
    <t>智能硬件销售业务</t>
  </si>
  <si>
    <t>行政部</t>
  </si>
  <si>
    <t>智能硬件销售-2024年12月项目7</t>
  </si>
  <si>
    <t>收入</t>
  </si>
  <si>
    <t>其他业务收入</t>
  </si>
  <si>
    <t>场地租赁收入</t>
  </si>
  <si>
    <t>深圳区域</t>
  </si>
  <si>
    <t>未回款</t>
  </si>
  <si>
    <t>发票作废</t>
  </si>
  <si>
    <t>李四</t>
  </si>
  <si>
    <t>王总</t>
  </si>
  <si>
    <t>场地租赁收入相关收入，深圳区域区域</t>
  </si>
  <si>
    <t>2024-12-10</t>
  </si>
  <si>
    <t>ToC电商业务</t>
  </si>
  <si>
    <t>市场部</t>
  </si>
  <si>
    <t>ToC电商-2024年12月项目8</t>
  </si>
  <si>
    <t>支出</t>
  </si>
  <si>
    <t>主营业务成本</t>
  </si>
  <si>
    <t>物流配送成本</t>
  </si>
  <si>
    <t>深圳区域</t>
  </si>
  <si>
    <t>已支付</t>
  </si>
  <si>
    <t>未开票</t>
  </si>
  <si>
    <t>周八</t>
  </si>
  <si>
    <t>李总</t>
  </si>
  <si>
    <t>物流配送成本相关支出，深圳区域区域</t>
  </si>
  <si>
    <t>2024-12-14</t>
  </si>
  <si>
    <t>智能硬件销售业务</t>
  </si>
  <si>
    <t>研发部</t>
  </si>
  <si>
    <t>智能硬件销售-2024年12月项目5</t>
  </si>
  <si>
    <t>支出</t>
  </si>
  <si>
    <t>营业外支出</t>
  </si>
  <si>
    <t>资产盘亏支出</t>
  </si>
  <si>
    <t>杭州区域</t>
  </si>
  <si>
    <t>已支付</t>
  </si>
  <si>
    <t>部分开票</t>
  </si>
  <si>
    <t>郑十</t>
  </si>
  <si>
    <t>张总</t>
  </si>
  <si>
    <t>资产盘亏支出相关支出，杭州区域区域</t>
  </si>
  <si>
    <t>2024-12-09</t>
  </si>
  <si>
    <t>ToB SaaS业务</t>
  </si>
  <si>
    <t>研发部</t>
  </si>
  <si>
    <t>ToB SaaS-2024年12月项目9</t>
  </si>
  <si>
    <t>支出</t>
  </si>
  <si>
    <t>财务费用</t>
  </si>
  <si>
    <t>汇兑损益</t>
  </si>
  <si>
    <t>武汉区域</t>
  </si>
  <si>
    <t>已支付</t>
  </si>
  <si>
    <t>未开票</t>
  </si>
  <si>
    <t>王五</t>
  </si>
  <si>
    <t>李总</t>
  </si>
  <si>
    <t>汇兑损益相关支出，武汉区域区域</t>
  </si>
  <si>
    <t>2024-12-08</t>
  </si>
  <si>
    <t>定制化服务业务</t>
  </si>
  <si>
    <t>人事部</t>
  </si>
  <si>
    <t>定制化服务-2024年12月项目9</t>
  </si>
  <si>
    <t>支出</t>
  </si>
  <si>
    <t>营业外支出</t>
  </si>
  <si>
    <t>捐赠支出</t>
  </si>
  <si>
    <t>北京区域</t>
  </si>
  <si>
    <t>已支付</t>
  </si>
  <si>
    <t>部分开票</t>
  </si>
  <si>
    <t>吴九</t>
  </si>
  <si>
    <t>李总</t>
  </si>
  <si>
    <t>捐赠支出相关支出，北京区域区域</t>
  </si>
  <si>
    <t>2024-12-05</t>
  </si>
  <si>
    <t>定制化服务业务</t>
  </si>
  <si>
    <t>人事部</t>
  </si>
  <si>
    <t>定制化服务-2024年12月项目7</t>
  </si>
  <si>
    <t>收入</t>
  </si>
  <si>
    <t>主营业务收入</t>
  </si>
  <si>
    <t>SaaS订阅收入</t>
  </si>
  <si>
    <t>深圳区域</t>
  </si>
  <si>
    <t>已回款</t>
  </si>
  <si>
    <t>部分开票</t>
  </si>
  <si>
    <t>周八</t>
  </si>
  <si>
    <t>王总</t>
  </si>
  <si>
    <t>SaaS订阅收入相关收入，深圳区域区域</t>
  </si>
  <si>
    <t>2024-12-26</t>
  </si>
  <si>
    <t>智能硬件销售业务</t>
  </si>
  <si>
    <t>人事部</t>
  </si>
  <si>
    <t>智能硬件销售-2024年12月项目2</t>
  </si>
  <si>
    <t>支出</t>
  </si>
  <si>
    <t>营业外支出</t>
  </si>
  <si>
    <t>捐赠支出</t>
  </si>
  <si>
    <t>南京区域</t>
  </si>
  <si>
    <t>已支付</t>
  </si>
  <si>
    <t>未开票</t>
  </si>
  <si>
    <t>张三</t>
  </si>
  <si>
    <t>李总</t>
  </si>
  <si>
    <t>捐赠支出相关支出，南京区域区域</t>
  </si>
  <si>
    <t>2024-12-06</t>
  </si>
  <si>
    <t>定制化服务业务</t>
  </si>
  <si>
    <t>运营部</t>
  </si>
  <si>
    <t>定制化服务-2024年12月项目2</t>
  </si>
  <si>
    <t>支出</t>
  </si>
  <si>
    <t>主营业务成本</t>
  </si>
  <si>
    <t>商品采购成本</t>
  </si>
  <si>
    <t>成都区域</t>
  </si>
  <si>
    <t>已支付</t>
  </si>
  <si>
    <t>部分开票</t>
  </si>
  <si>
    <t>孙七</t>
  </si>
  <si>
    <t>王总</t>
  </si>
  <si>
    <t>商品采购成本相关支出，成都区域区域</t>
  </si>
  <si>
    <t>2024-12-09</t>
  </si>
  <si>
    <t>ToB SaaS业务</t>
  </si>
  <si>
    <t>研发部</t>
  </si>
  <si>
    <t>ToB SaaS-2024年12月项目2</t>
  </si>
  <si>
    <t>支出</t>
  </si>
  <si>
    <t>财务费用</t>
  </si>
  <si>
    <t>汇兑损益</t>
  </si>
  <si>
    <t>成都区域</t>
  </si>
  <si>
    <t>已支付</t>
  </si>
  <si>
    <t>发票作废</t>
  </si>
  <si>
    <t>吴九</t>
  </si>
  <si>
    <t>陈总</t>
  </si>
  <si>
    <t>汇兑损益相关支出，成都区域区域</t>
  </si>
  <si>
    <t>2024-12-06</t>
  </si>
  <si>
    <t>定制化服务业务</t>
  </si>
  <si>
    <t>市场部</t>
  </si>
  <si>
    <t>定制化服务-2024年12月项目1</t>
  </si>
  <si>
    <t>收入</t>
  </si>
  <si>
    <t>营业外收入</t>
  </si>
  <si>
    <t>违约金收入</t>
  </si>
  <si>
    <t>深圳区域</t>
  </si>
  <si>
    <t>部分回款</t>
  </si>
  <si>
    <t>已开票</t>
  </si>
  <si>
    <t>赵六</t>
  </si>
  <si>
    <t>刘总</t>
  </si>
  <si>
    <t>违约金收入相关收入，深圳区域区域</t>
  </si>
  <si>
    <t>2025-01-15</t>
  </si>
  <si>
    <t>ToC电商业务</t>
  </si>
  <si>
    <t>财务部</t>
  </si>
  <si>
    <t>ToC电商-2025年1月项目5</t>
  </si>
  <si>
    <t>收入</t>
  </si>
  <si>
    <t>主营业务收入</t>
  </si>
  <si>
    <t>SaaS订阅收入</t>
  </si>
  <si>
    <t>南京区域</t>
  </si>
  <si>
    <t>坏账</t>
  </si>
  <si>
    <t>发票作废</t>
  </si>
  <si>
    <t>赵六</t>
  </si>
  <si>
    <t>王总</t>
  </si>
  <si>
    <t>SaaS订阅收入相关收入，南京区域区域</t>
  </si>
  <si>
    <t>2025-01-17</t>
  </si>
  <si>
    <t>ToB SaaS业务</t>
  </si>
  <si>
    <t>研发部</t>
  </si>
  <si>
    <t>ToB SaaS-2025年1月项目8</t>
  </si>
  <si>
    <t>收入</t>
  </si>
  <si>
    <t>其他业务收入</t>
  </si>
  <si>
    <t>技术服务费收入</t>
  </si>
  <si>
    <t>上海区域</t>
  </si>
  <si>
    <t>部分回款</t>
  </si>
  <si>
    <t>已开票</t>
  </si>
  <si>
    <t>孙七</t>
  </si>
  <si>
    <t>张总</t>
  </si>
  <si>
    <t>技术服务费收入相关收入，上海区域区域</t>
  </si>
  <si>
    <t>2025-01-13</t>
  </si>
  <si>
    <t>智能硬件销售业务</t>
  </si>
  <si>
    <t>销售部</t>
  </si>
  <si>
    <t>智能硬件销售-2025年1月项目10</t>
  </si>
  <si>
    <t>收入</t>
  </si>
  <si>
    <t>其他业务收入</t>
  </si>
  <si>
    <t>广告佣金收入</t>
  </si>
  <si>
    <t>杭州区域</t>
  </si>
  <si>
    <t>已回款</t>
  </si>
  <si>
    <t>部分开票</t>
  </si>
  <si>
    <t>王五</t>
  </si>
  <si>
    <t>李总</t>
  </si>
  <si>
    <t>广告佣金收入相关收入，杭州区域区域</t>
  </si>
  <si>
    <t>2025-01-12</t>
  </si>
  <si>
    <t>智能硬件销售业务</t>
  </si>
  <si>
    <t>财务部</t>
  </si>
  <si>
    <t>智能硬件销售-2025年1月项目7</t>
  </si>
  <si>
    <t>收入</t>
  </si>
  <si>
    <t>营业外收入</t>
  </si>
  <si>
    <t>资产盘盈收入</t>
  </si>
  <si>
    <t>武汉区域</t>
  </si>
  <si>
    <t>已回款</t>
  </si>
  <si>
    <t>部分开票</t>
  </si>
  <si>
    <t>王五</t>
  </si>
  <si>
    <t>刘总</t>
  </si>
  <si>
    <t>资产盘盈收入相关收入，武汉区域区域</t>
  </si>
  <si>
    <t>2025-01-08</t>
  </si>
  <si>
    <t>定制化服务业务</t>
  </si>
  <si>
    <t>财务部</t>
  </si>
  <si>
    <t>定制化服务-2025年1月项目5</t>
  </si>
  <si>
    <t>收入</t>
  </si>
  <si>
    <t>营业外收入</t>
  </si>
  <si>
    <t>违约金收入</t>
  </si>
  <si>
    <t>南京区域</t>
  </si>
  <si>
    <t>已回款</t>
  </si>
  <si>
    <t>发票作废</t>
  </si>
  <si>
    <t>张三</t>
  </si>
  <si>
    <t>李总</t>
  </si>
  <si>
    <t>违约金收入相关收入，南京区域区域</t>
  </si>
  <si>
    <t>2025-01-14</t>
  </si>
  <si>
    <t>ToB SaaS业务</t>
  </si>
  <si>
    <t>行政部</t>
  </si>
  <si>
    <t>ToB SaaS-2025年1月项目6</t>
  </si>
  <si>
    <t>收入</t>
  </si>
  <si>
    <t>主营业务收入</t>
  </si>
  <si>
    <t>电商销售收入</t>
  </si>
  <si>
    <t>深圳区域</t>
  </si>
  <si>
    <t>未回款</t>
  </si>
  <si>
    <t>已开票</t>
  </si>
  <si>
    <t>孙七</t>
  </si>
  <si>
    <t>王总</t>
  </si>
  <si>
    <t>电商销售收入相关收入，深圳区域区域</t>
  </si>
  <si>
    <t>2025-01-13</t>
  </si>
  <si>
    <t>ToC电商业务</t>
  </si>
  <si>
    <t>销售部</t>
  </si>
  <si>
    <t>ToC电商-2025年1月项目9</t>
  </si>
  <si>
    <t>支出</t>
  </si>
  <si>
    <t>销售费用</t>
  </si>
  <si>
    <t>市场推广费</t>
  </si>
  <si>
    <t>北京区域</t>
  </si>
  <si>
    <t>已支付</t>
  </si>
  <si>
    <t>未开票</t>
  </si>
  <si>
    <t>张三</t>
  </si>
  <si>
    <t>张总</t>
  </si>
  <si>
    <t>市场推广费相关支出，北京区域区域</t>
  </si>
  <si>
    <t>2025-01-06</t>
  </si>
  <si>
    <t>定制化服务业务</t>
  </si>
  <si>
    <t>市场部</t>
  </si>
  <si>
    <t>定制化服务-2025年1月项目5</t>
  </si>
  <si>
    <t>支出</t>
  </si>
  <si>
    <t>销售费用</t>
  </si>
  <si>
    <t>差旅费</t>
  </si>
  <si>
    <t>北京区域</t>
  </si>
  <si>
    <t>已支付</t>
  </si>
  <si>
    <t>发票作废</t>
  </si>
  <si>
    <t>张三</t>
  </si>
  <si>
    <t>陈总</t>
  </si>
  <si>
    <t>差旅费相关支出，北京区域区域</t>
  </si>
  <si>
    <t>2025-01-03</t>
  </si>
  <si>
    <t>ToC电商业务</t>
  </si>
  <si>
    <t>研发部</t>
  </si>
  <si>
    <t>ToC电商-2025年1月项目1</t>
  </si>
  <si>
    <t>收入</t>
  </si>
  <si>
    <t>其他业务收入</t>
  </si>
  <si>
    <t>广告佣金收入</t>
  </si>
  <si>
    <t>南京区域</t>
  </si>
  <si>
    <t>部分回款</t>
  </si>
  <si>
    <t>已开票</t>
  </si>
  <si>
    <t>周八</t>
  </si>
  <si>
    <t>李总</t>
  </si>
  <si>
    <t>广告佣金收入相关收入，南京区域区域</t>
  </si>
  <si>
    <t>2025-01-05</t>
  </si>
  <si>
    <t>ToB SaaS业务</t>
  </si>
  <si>
    <t>研发部</t>
  </si>
  <si>
    <t>ToB SaaS-2025年1月项目6</t>
  </si>
  <si>
    <t>收入</t>
  </si>
  <si>
    <t>其他业务收入</t>
  </si>
  <si>
    <t>技术服务费收入</t>
  </si>
  <si>
    <t>武汉区域</t>
  </si>
  <si>
    <t>已回款</t>
  </si>
  <si>
    <t>发票作废</t>
  </si>
  <si>
    <t>郑十</t>
  </si>
  <si>
    <t>张总</t>
  </si>
  <si>
    <t>技术服务费收入相关收入，武汉区域区域</t>
  </si>
  <si>
    <t>2025-01-28</t>
  </si>
  <si>
    <t>ToC电商业务</t>
  </si>
  <si>
    <t>财务部</t>
  </si>
  <si>
    <t>ToC电商-2025年1月项目3</t>
  </si>
  <si>
    <t>支出</t>
  </si>
  <si>
    <t>财务费用</t>
  </si>
  <si>
    <t>银行手续费</t>
  </si>
  <si>
    <t>武汉区域</t>
  </si>
  <si>
    <t>已支付</t>
  </si>
  <si>
    <t>未开票</t>
  </si>
  <si>
    <t>郑十</t>
  </si>
  <si>
    <t>王总</t>
  </si>
  <si>
    <t>银行手续费相关支出，武汉区域区域</t>
  </si>
  <si>
    <t>2025-01-27</t>
  </si>
  <si>
    <t>ToB SaaS业务</t>
  </si>
  <si>
    <t>运营部</t>
  </si>
  <si>
    <t>ToB SaaS-2025年1月项目5</t>
  </si>
  <si>
    <t>支出</t>
  </si>
  <si>
    <t>主营业务成本</t>
  </si>
  <si>
    <t>技术服务成本</t>
  </si>
  <si>
    <t>武汉区域</t>
  </si>
  <si>
    <t>已支付</t>
  </si>
  <si>
    <t>发票作废</t>
  </si>
  <si>
    <t>孙七</t>
  </si>
  <si>
    <t>刘总</t>
  </si>
  <si>
    <t>技术服务成本相关支出，武汉区域区域</t>
  </si>
  <si>
    <t>2025-01-22</t>
  </si>
  <si>
    <t>智能硬件销售业务</t>
  </si>
  <si>
    <t>研发部</t>
  </si>
  <si>
    <t>智能硬件销售-2025年1月项目10</t>
  </si>
  <si>
    <t>收入</t>
  </si>
  <si>
    <t>其他业务收入</t>
  </si>
  <si>
    <t>广告佣金收入</t>
  </si>
  <si>
    <t>北京区域</t>
  </si>
  <si>
    <t>已回款</t>
  </si>
  <si>
    <t>发票作废</t>
  </si>
  <si>
    <t>周八</t>
  </si>
  <si>
    <t>刘总</t>
  </si>
  <si>
    <t>广告佣金收入相关收入，北京区域区域</t>
  </si>
  <si>
    <t>2025-01-13</t>
  </si>
  <si>
    <t>ToB SaaS业务</t>
  </si>
  <si>
    <t>运营部</t>
  </si>
  <si>
    <t>ToB SaaS-2025年1月项目6</t>
  </si>
  <si>
    <t>支出</t>
  </si>
  <si>
    <t>财务费用</t>
  </si>
  <si>
    <t>汇兑损益</t>
  </si>
  <si>
    <t>成都区域</t>
  </si>
  <si>
    <t>已支付</t>
  </si>
  <si>
    <t>发票作废</t>
  </si>
  <si>
    <t>郑十</t>
  </si>
  <si>
    <t>刘总</t>
  </si>
  <si>
    <t>汇兑损益相关支出，成都区域区域</t>
  </si>
  <si>
    <t>2025-01-10</t>
  </si>
  <si>
    <t>智能硬件销售业务</t>
  </si>
  <si>
    <t>市场部</t>
  </si>
  <si>
    <t>智能硬件销售-2025年1月项目4</t>
  </si>
  <si>
    <t>收入</t>
  </si>
  <si>
    <t>营业外收入</t>
  </si>
  <si>
    <t>政府补贴</t>
  </si>
  <si>
    <t>成都区域</t>
  </si>
  <si>
    <t>已回款</t>
  </si>
  <si>
    <t>未开票</t>
  </si>
  <si>
    <t>郑十</t>
  </si>
  <si>
    <t>陈总</t>
  </si>
  <si>
    <t>政府补贴相关收入，成都区域区域</t>
  </si>
  <si>
    <t>2025-02-04</t>
  </si>
  <si>
    <t>ToC电商业务</t>
  </si>
  <si>
    <t>市场部</t>
  </si>
  <si>
    <t>ToC电商-2025年2月项目9</t>
  </si>
  <si>
    <t>收入</t>
  </si>
  <si>
    <t>营业外收入</t>
  </si>
  <si>
    <t>违约金收入</t>
  </si>
  <si>
    <t>武汉区域</t>
  </si>
  <si>
    <t>部分回款</t>
  </si>
  <si>
    <t>已开票</t>
  </si>
  <si>
    <t>李四</t>
  </si>
  <si>
    <t>李总</t>
  </si>
  <si>
    <t>违约金收入相关收入，武汉区域区域</t>
  </si>
  <si>
    <t>2025-02-08</t>
  </si>
  <si>
    <t>定制化服务业务</t>
  </si>
  <si>
    <t>运营部</t>
  </si>
  <si>
    <t>定制化服务-2025年2月项目8</t>
  </si>
  <si>
    <t>支出</t>
  </si>
  <si>
    <t>主营业务成本</t>
  </si>
  <si>
    <t>技术服务成本</t>
  </si>
  <si>
    <t>北京区域</t>
  </si>
  <si>
    <t>已支付</t>
  </si>
  <si>
    <t>已开票</t>
  </si>
  <si>
    <t>郑十</t>
  </si>
  <si>
    <t>刘总</t>
  </si>
  <si>
    <t>技术服务成本相关支出，北京区域区域</t>
  </si>
  <si>
    <t>2025-02-07</t>
  </si>
  <si>
    <t>ToB SaaS业务</t>
  </si>
  <si>
    <t>运营部</t>
  </si>
  <si>
    <t>ToB SaaS-2025年2月项目2</t>
  </si>
  <si>
    <t>支出</t>
  </si>
  <si>
    <t>研发费用</t>
  </si>
  <si>
    <t>设备采购费</t>
  </si>
  <si>
    <t>杭州区域</t>
  </si>
  <si>
    <t>已支付</t>
  </si>
  <si>
    <t>部分开票</t>
  </si>
  <si>
    <t>郑十</t>
  </si>
  <si>
    <t>刘总</t>
  </si>
  <si>
    <t>设备采购费相关支出，杭州区域区域</t>
  </si>
  <si>
    <t>2025-02-26</t>
  </si>
  <si>
    <t>ToB SaaS业务</t>
  </si>
  <si>
    <t>运营部</t>
  </si>
  <si>
    <t>ToB SaaS-2025年2月项目6</t>
  </si>
  <si>
    <t>支出</t>
  </si>
  <si>
    <t>财务费用</t>
  </si>
  <si>
    <t>银行手续费</t>
  </si>
  <si>
    <t>上海区域</t>
  </si>
  <si>
    <t>已支付</t>
  </si>
  <si>
    <t>发票作废</t>
  </si>
  <si>
    <t>赵六</t>
  </si>
  <si>
    <t>张总</t>
  </si>
  <si>
    <t>银行手续费相关支出，上海区域区域</t>
  </si>
  <si>
    <t>2025-02-23</t>
  </si>
  <si>
    <t>定制化服务业务</t>
  </si>
  <si>
    <t>运营部</t>
  </si>
  <si>
    <t>定制化服务-2025年2月项目9</t>
  </si>
  <si>
    <t>收入</t>
  </si>
  <si>
    <t>其他业务收入</t>
  </si>
  <si>
    <t>场地租赁收入</t>
  </si>
  <si>
    <t>深圳区域</t>
  </si>
  <si>
    <t>部分回款</t>
  </si>
  <si>
    <t>发票作废</t>
  </si>
  <si>
    <t>赵六</t>
  </si>
  <si>
    <t>张总</t>
  </si>
  <si>
    <t>场地租赁收入相关收入，深圳区域区域</t>
  </si>
  <si>
    <t>2025-02-11</t>
  </si>
  <si>
    <t>智能硬件销售业务</t>
  </si>
  <si>
    <t>销售部</t>
  </si>
  <si>
    <t>智能硬件销售-2025年2月项目4</t>
  </si>
  <si>
    <t>支出</t>
  </si>
  <si>
    <t>财务费用</t>
  </si>
  <si>
    <t>汇兑损益</t>
  </si>
  <si>
    <t>武汉区域</t>
  </si>
  <si>
    <t>已支付</t>
  </si>
  <si>
    <t>未开票</t>
  </si>
  <si>
    <t>吴九</t>
  </si>
  <si>
    <t>王总</t>
  </si>
  <si>
    <t>汇兑损益相关支出，武汉区域区域</t>
  </si>
  <si>
    <t>2025-02-10</t>
  </si>
  <si>
    <t>ToB SaaS业务</t>
  </si>
  <si>
    <t>研发部</t>
  </si>
  <si>
    <t>ToB SaaS-2025年2月项目9</t>
  </si>
  <si>
    <t>支出</t>
  </si>
  <si>
    <t>财务费用</t>
  </si>
  <si>
    <t>银行手续费</t>
  </si>
  <si>
    <t>深圳区域</t>
  </si>
  <si>
    <t>已支付</t>
  </si>
  <si>
    <t>部分开票</t>
  </si>
  <si>
    <t>周八</t>
  </si>
  <si>
    <t>刘总</t>
  </si>
  <si>
    <t>银行手续费相关支出，深圳区域区域</t>
  </si>
  <si>
    <t>2025-02-25</t>
  </si>
  <si>
    <t>智能硬件销售业务</t>
  </si>
  <si>
    <t>市场部</t>
  </si>
  <si>
    <t>智能硬件销售-2025年2月项目10</t>
  </si>
  <si>
    <t>收入</t>
  </si>
  <si>
    <t>主营业务收入</t>
  </si>
  <si>
    <t>硬件销售收入</t>
  </si>
  <si>
    <t>南京区域</t>
  </si>
  <si>
    <t>坏账</t>
  </si>
  <si>
    <t>发票作废</t>
  </si>
  <si>
    <t>王五</t>
  </si>
  <si>
    <t>陈总</t>
  </si>
  <si>
    <t>硬件销售收入相关收入，南京区域区域</t>
  </si>
  <si>
    <t>2025-02-08</t>
  </si>
  <si>
    <t>ToB SaaS业务</t>
  </si>
  <si>
    <t>行政部</t>
  </si>
  <si>
    <t>ToB SaaS-2025年2月项目7</t>
  </si>
  <si>
    <t>支出</t>
  </si>
  <si>
    <t>管理费用</t>
  </si>
  <si>
    <t>办公费</t>
  </si>
  <si>
    <t>南京区域</t>
  </si>
  <si>
    <t>已支付</t>
  </si>
  <si>
    <t>发票作废</t>
  </si>
  <si>
    <t>王五</t>
  </si>
  <si>
    <t>刘总</t>
  </si>
  <si>
    <t>办公费相关支出，南京区域区域</t>
  </si>
  <si>
    <t>2025-02-15</t>
  </si>
  <si>
    <t>定制化服务业务</t>
  </si>
  <si>
    <t>行政部</t>
  </si>
  <si>
    <t>定制化服务-2025年2月项目10</t>
  </si>
  <si>
    <t>收入</t>
  </si>
  <si>
    <t>营业外收入</t>
  </si>
  <si>
    <t>违约金收入</t>
  </si>
  <si>
    <t>南京区域</t>
  </si>
  <si>
    <t>已回款</t>
  </si>
  <si>
    <t>已开票</t>
  </si>
  <si>
    <t>孙七</t>
  </si>
  <si>
    <t>张总</t>
  </si>
  <si>
    <t>违约金收入相关收入，南京区域区域</t>
  </si>
  <si>
    <t>2025-02-11</t>
  </si>
  <si>
    <t>ToC电商业务</t>
  </si>
  <si>
    <t>运营部</t>
  </si>
  <si>
    <t>ToC电商-2025年2月项目10</t>
  </si>
  <si>
    <t>支出</t>
  </si>
  <si>
    <t>营业外支出</t>
  </si>
  <si>
    <t>违约金支出</t>
  </si>
  <si>
    <t>杭州区域</t>
  </si>
  <si>
    <t>已支付</t>
  </si>
  <si>
    <t>发票作废</t>
  </si>
  <si>
    <t>吴九</t>
  </si>
  <si>
    <t>刘总</t>
  </si>
  <si>
    <t>违约金支出相关支出，杭州区域区域</t>
  </si>
  <si>
    <t>2025-02-03</t>
  </si>
  <si>
    <t>ToC电商业务</t>
  </si>
  <si>
    <t>运营部</t>
  </si>
  <si>
    <t>ToC电商-2025年2月项目7</t>
  </si>
  <si>
    <t>收入</t>
  </si>
  <si>
    <t>营业外收入</t>
  </si>
  <si>
    <t>资产盘盈收入</t>
  </si>
  <si>
    <t>北京区域</t>
  </si>
  <si>
    <t>已回款</t>
  </si>
  <si>
    <t>发票作废</t>
  </si>
  <si>
    <t>孙七</t>
  </si>
  <si>
    <t>李总</t>
  </si>
  <si>
    <t>资产盘盈收入相关收入，北京区域区域</t>
  </si>
  <si>
    <t>2025-02-25</t>
  </si>
  <si>
    <t>ToC电商业务</t>
  </si>
  <si>
    <t>销售部</t>
  </si>
  <si>
    <t>ToC电商-2025年2月项目8</t>
  </si>
  <si>
    <t>收入</t>
  </si>
  <si>
    <t>营业外收入</t>
  </si>
  <si>
    <t>资产盘盈收入</t>
  </si>
  <si>
    <t>成都区域</t>
  </si>
  <si>
    <t>坏账</t>
  </si>
  <si>
    <t>部分开票</t>
  </si>
  <si>
    <t>李四</t>
  </si>
  <si>
    <t>王总</t>
  </si>
  <si>
    <t>资产盘盈收入相关收入，成都区域区域</t>
  </si>
  <si>
    <t>2025-02-12</t>
  </si>
  <si>
    <t>ToB SaaS业务</t>
  </si>
  <si>
    <t>人事部</t>
  </si>
  <si>
    <t>ToB SaaS-2025年2月项目3</t>
  </si>
  <si>
    <t>收入</t>
  </si>
  <si>
    <t>营业外收入</t>
  </si>
  <si>
    <t>资产盘盈收入</t>
  </si>
  <si>
    <t>武汉区域</t>
  </si>
  <si>
    <t>坏账</t>
  </si>
  <si>
    <t>未开票</t>
  </si>
  <si>
    <t>王五</t>
  </si>
  <si>
    <t>张总</t>
  </si>
  <si>
    <t>资产盘盈收入相关收入，武汉区域区域</t>
  </si>
  <si>
    <t>2025-02-08</t>
  </si>
  <si>
    <t>ToC电商业务</t>
  </si>
  <si>
    <t>运营部</t>
  </si>
  <si>
    <t>ToC电商-2025年2月项目7</t>
  </si>
  <si>
    <t>收入</t>
  </si>
  <si>
    <t>营业外收入</t>
  </si>
  <si>
    <t>资产盘盈收入</t>
  </si>
  <si>
    <t>成都区域</t>
  </si>
  <si>
    <t>未回款</t>
  </si>
  <si>
    <t>已开票</t>
  </si>
  <si>
    <t>吴九</t>
  </si>
  <si>
    <t>陈总</t>
  </si>
  <si>
    <t>资产盘盈收入相关收入，成都区域区域</t>
  </si>
  <si>
    <t>2025-03-07</t>
  </si>
  <si>
    <t>智能硬件销售业务</t>
  </si>
  <si>
    <t>人事部</t>
  </si>
  <si>
    <t>智能硬件销售-2025年3月项目9</t>
  </si>
  <si>
    <t>收入</t>
  </si>
  <si>
    <t>其他业务收入</t>
  </si>
  <si>
    <t>技术服务费收入</t>
  </si>
  <si>
    <t>深圳区域</t>
  </si>
  <si>
    <t>部分回款</t>
  </si>
  <si>
    <t>部分开票</t>
  </si>
  <si>
    <t>吴九</t>
  </si>
  <si>
    <t>张总</t>
  </si>
  <si>
    <t>技术服务费收入相关收入，深圳区域区域</t>
  </si>
  <si>
    <t>2025-03-01</t>
  </si>
  <si>
    <t>ToC电商业务</t>
  </si>
  <si>
    <t>研发部</t>
  </si>
  <si>
    <t>ToC电商-2025年3月项目9</t>
  </si>
  <si>
    <t>收入</t>
  </si>
  <si>
    <t>其他业务收入</t>
  </si>
  <si>
    <t>场地租赁收入</t>
  </si>
  <si>
    <t>深圳区域</t>
  </si>
  <si>
    <t>部分回款</t>
  </si>
  <si>
    <t>未开票</t>
  </si>
  <si>
    <t>王五</t>
  </si>
  <si>
    <t>李总</t>
  </si>
  <si>
    <t>场地租赁收入相关收入，深圳区域区域</t>
  </si>
  <si>
    <t>2025-03-18</t>
  </si>
  <si>
    <t>智能硬件销售业务</t>
  </si>
  <si>
    <t>市场部</t>
  </si>
  <si>
    <t>智能硬件销售-2025年3月项目1</t>
  </si>
  <si>
    <t>支出</t>
  </si>
  <si>
    <t>主营业务成本</t>
  </si>
  <si>
    <t>商品采购成本</t>
  </si>
  <si>
    <t>南京区域</t>
  </si>
  <si>
    <t>已支付</t>
  </si>
  <si>
    <t>已开票</t>
  </si>
  <si>
    <t>孙七</t>
  </si>
  <si>
    <t>张总</t>
  </si>
  <si>
    <t>商品采购成本相关支出，南京区域区域</t>
  </si>
  <si>
    <t>2025-03-06</t>
  </si>
  <si>
    <t>智能硬件销售业务</t>
  </si>
  <si>
    <t>财务部</t>
  </si>
  <si>
    <t>智能硬件销售-2025年3月项目4</t>
  </si>
  <si>
    <t>支出</t>
  </si>
  <si>
    <t>研发费用</t>
  </si>
  <si>
    <t>研发人员薪酬</t>
  </si>
  <si>
    <t>南京区域</t>
  </si>
  <si>
    <t>已支付</t>
  </si>
  <si>
    <t>部分开票</t>
  </si>
  <si>
    <t>吴九</t>
  </si>
  <si>
    <t>陈总</t>
  </si>
  <si>
    <t>研发人员薪酬相关支出，南京区域区域</t>
  </si>
  <si>
    <t>2025-03-22</t>
  </si>
  <si>
    <t>智能硬件销售业务</t>
  </si>
  <si>
    <t>研发部</t>
  </si>
  <si>
    <t>智能硬件销售-2025年3月项目1</t>
  </si>
  <si>
    <t>收入</t>
  </si>
  <si>
    <t>其他业务收入</t>
  </si>
  <si>
    <t>技术服务费收入</t>
  </si>
  <si>
    <t>广州区域</t>
  </si>
  <si>
    <t>已回款</t>
  </si>
  <si>
    <t>未开票</t>
  </si>
  <si>
    <t>吴九</t>
  </si>
  <si>
    <t>张总</t>
  </si>
  <si>
    <t>技术服务费收入相关收入，广州区域区域</t>
  </si>
  <si>
    <t>2025-03-03</t>
  </si>
  <si>
    <t>ToC电商业务</t>
  </si>
  <si>
    <t>市场部</t>
  </si>
  <si>
    <t>ToC电商-2025年3月项目8</t>
  </si>
  <si>
    <t>收入</t>
  </si>
  <si>
    <t>主营业务收入</t>
  </si>
  <si>
    <t>硬件销售收入</t>
  </si>
  <si>
    <t>广州区域</t>
  </si>
  <si>
    <t>未回款</t>
  </si>
  <si>
    <t>未开票</t>
  </si>
  <si>
    <t>周八</t>
  </si>
  <si>
    <t>王总</t>
  </si>
  <si>
    <t>硬件销售收入相关收入，广州区域区域</t>
  </si>
  <si>
    <t>2025-03-18</t>
  </si>
  <si>
    <t>智能硬件销售业务</t>
  </si>
  <si>
    <t>行政部</t>
  </si>
  <si>
    <t>智能硬件销售-2025年3月项目5</t>
  </si>
  <si>
    <t>收入</t>
  </si>
  <si>
    <t>主营业务收入</t>
  </si>
  <si>
    <t>定制服务收入</t>
  </si>
  <si>
    <t>广州区域</t>
  </si>
  <si>
    <t>部分回款</t>
  </si>
  <si>
    <t>发票作废</t>
  </si>
  <si>
    <t>王五</t>
  </si>
  <si>
    <t>陈总</t>
  </si>
  <si>
    <t>定制服务收入相关收入，广州区域区域</t>
  </si>
  <si>
    <t>2025-03-26</t>
  </si>
  <si>
    <t>智能硬件销售业务</t>
  </si>
  <si>
    <t>研发部</t>
  </si>
  <si>
    <t>智能硬件销售-2025年3月项目10</t>
  </si>
  <si>
    <t>收入</t>
  </si>
  <si>
    <t>营业外收入</t>
  </si>
  <si>
    <t>违约金收入</t>
  </si>
  <si>
    <t>深圳区域</t>
  </si>
  <si>
    <t>已回款</t>
  </si>
  <si>
    <t>未开票</t>
  </si>
  <si>
    <t>赵六</t>
  </si>
  <si>
    <t>张总</t>
  </si>
  <si>
    <t>违约金收入相关收入，深圳区域区域</t>
  </si>
  <si>
    <t>2025-03-12</t>
  </si>
  <si>
    <t>ToB SaaS业务</t>
  </si>
  <si>
    <t>销售部</t>
  </si>
  <si>
    <t>ToB SaaS-2025年3月项目7</t>
  </si>
  <si>
    <t>支出</t>
  </si>
  <si>
    <t>研发费用</t>
  </si>
  <si>
    <t>研发人员薪酬</t>
  </si>
  <si>
    <t>广州区域</t>
  </si>
  <si>
    <t>已支付</t>
  </si>
  <si>
    <t>部分开票</t>
  </si>
  <si>
    <t>赵六</t>
  </si>
  <si>
    <t>张总</t>
  </si>
  <si>
    <t>研发人员薪酬相关支出，广州区域区域</t>
  </si>
  <si>
    <t>2025-03-02</t>
  </si>
  <si>
    <t>定制化服务业务</t>
  </si>
  <si>
    <t>市场部</t>
  </si>
  <si>
    <t>定制化服务-2025年3月项目6</t>
  </si>
  <si>
    <t>收入</t>
  </si>
  <si>
    <t>营业外收入</t>
  </si>
  <si>
    <t>资产盘盈收入</t>
  </si>
  <si>
    <t>深圳区域</t>
  </si>
  <si>
    <t>坏账</t>
  </si>
  <si>
    <t>部分开票</t>
  </si>
  <si>
    <t>李四</t>
  </si>
  <si>
    <t>张总</t>
  </si>
  <si>
    <t>资产盘盈收入相关收入，深圳区域区域</t>
  </si>
  <si>
    <t>2025-03-09</t>
  </si>
  <si>
    <t>智能硬件销售业务</t>
  </si>
  <si>
    <t>财务部</t>
  </si>
  <si>
    <t>智能硬件销售-2025年3月项目1</t>
  </si>
  <si>
    <t>支出</t>
  </si>
  <si>
    <t>销售费用</t>
  </si>
  <si>
    <t>市场推广费</t>
  </si>
  <si>
    <t>北京区域</t>
  </si>
  <si>
    <t>已支付</t>
  </si>
  <si>
    <t>部分开票</t>
  </si>
  <si>
    <t>张三</t>
  </si>
  <si>
    <t>刘总</t>
  </si>
  <si>
    <t>市场推广费相关支出，北京区域区域</t>
  </si>
  <si>
    <t>2025-03-28</t>
  </si>
  <si>
    <t>ToB SaaS业务</t>
  </si>
  <si>
    <t>行政部</t>
  </si>
  <si>
    <t>ToB SaaS-2025年3月项目8</t>
  </si>
  <si>
    <t>支出</t>
  </si>
  <si>
    <t>营业外支出</t>
  </si>
  <si>
    <t>违约金支出</t>
  </si>
  <si>
    <t>杭州区域</t>
  </si>
  <si>
    <t>已支付</t>
  </si>
  <si>
    <t>部分开票</t>
  </si>
  <si>
    <t>张三</t>
  </si>
  <si>
    <t>张总</t>
  </si>
  <si>
    <t>违约金支出相关支出，杭州区域区域</t>
  </si>
  <si>
    <t>2025-03-24</t>
  </si>
  <si>
    <t>定制化服务业务</t>
  </si>
  <si>
    <t>市场部</t>
  </si>
  <si>
    <t>定制化服务-2025年3月项目4</t>
  </si>
  <si>
    <t>收入</t>
  </si>
  <si>
    <t>营业外收入</t>
  </si>
  <si>
    <t>资产盘盈收入</t>
  </si>
  <si>
    <t>杭州区域</t>
  </si>
  <si>
    <t>坏账</t>
  </si>
  <si>
    <t>已开票</t>
  </si>
  <si>
    <t>吴九</t>
  </si>
  <si>
    <t>陈总</t>
  </si>
  <si>
    <t>资产盘盈收入相关收入，杭州区域区域</t>
  </si>
  <si>
    <t>2025-03-13</t>
  </si>
  <si>
    <t>定制化服务业务</t>
  </si>
  <si>
    <t>人事部</t>
  </si>
  <si>
    <t>定制化服务-2025年3月项目9</t>
  </si>
  <si>
    <t>收入</t>
  </si>
  <si>
    <t>营业外收入</t>
  </si>
  <si>
    <t>政府补贴</t>
  </si>
  <si>
    <t>武汉区域</t>
  </si>
  <si>
    <t>已回款</t>
  </si>
  <si>
    <t>部分开票</t>
  </si>
  <si>
    <t>王五</t>
  </si>
  <si>
    <t>刘总</t>
  </si>
  <si>
    <t>政府补贴相关收入，武汉区域区域</t>
  </si>
  <si>
    <t>2025-03-06</t>
  </si>
  <si>
    <t>定制化服务业务</t>
  </si>
  <si>
    <t>销售部</t>
  </si>
  <si>
    <t>定制化服务-2025年3月项目1</t>
  </si>
  <si>
    <t>收入</t>
  </si>
  <si>
    <t>其他业务收入</t>
  </si>
  <si>
    <t>技术服务费收入</t>
  </si>
  <si>
    <t>深圳区域</t>
  </si>
  <si>
    <t>未回款</t>
  </si>
  <si>
    <t>部分开票</t>
  </si>
  <si>
    <t>张三</t>
  </si>
  <si>
    <t>陈总</t>
  </si>
  <si>
    <t>技术服务费收入相关收入，深圳区域区域</t>
  </si>
  <si>
    <t>2025-04-01</t>
  </si>
  <si>
    <t>定制化服务业务</t>
  </si>
  <si>
    <t>运营部</t>
  </si>
  <si>
    <t>定制化服务-2025年4月项目3</t>
  </si>
  <si>
    <t>收入</t>
  </si>
  <si>
    <t>主营业务收入</t>
  </si>
  <si>
    <t>电商销售收入</t>
  </si>
  <si>
    <t>武汉区域</t>
  </si>
  <si>
    <t>坏账</t>
  </si>
  <si>
    <t>已开票</t>
  </si>
  <si>
    <t>郑十</t>
  </si>
  <si>
    <t>李总</t>
  </si>
  <si>
    <t>电商销售收入相关收入，武汉区域区域</t>
  </si>
  <si>
    <t>2025-04-23</t>
  </si>
  <si>
    <t>定制化服务业务</t>
  </si>
  <si>
    <t>销售部</t>
  </si>
  <si>
    <t>定制化服务-2025年4月项目10</t>
  </si>
  <si>
    <t>支出</t>
  </si>
  <si>
    <t>管理费用</t>
  </si>
  <si>
    <t>办公费</t>
  </si>
  <si>
    <t>成都区域</t>
  </si>
  <si>
    <t>已支付</t>
  </si>
  <si>
    <t>未开票</t>
  </si>
  <si>
    <t>周八</t>
  </si>
  <si>
    <t>刘总</t>
  </si>
  <si>
    <t>办公费相关支出，成都区域区域</t>
  </si>
  <si>
    <t>2025-04-16</t>
  </si>
  <si>
    <t>ToB SaaS业务</t>
  </si>
  <si>
    <t>研发部</t>
  </si>
  <si>
    <t>ToB SaaS-2025年4月项目8</t>
  </si>
  <si>
    <t>支出</t>
  </si>
  <si>
    <t>管理费用</t>
  </si>
  <si>
    <t>办公费</t>
  </si>
  <si>
    <t>武汉区域</t>
  </si>
  <si>
    <t>已支付</t>
  </si>
  <si>
    <t>部分开票</t>
  </si>
  <si>
    <t>王五</t>
  </si>
  <si>
    <t>王总</t>
  </si>
  <si>
    <t>办公费相关支出，武汉区域区域</t>
  </si>
  <si>
    <t>2025-04-24</t>
  </si>
  <si>
    <t>ToC电商业务</t>
  </si>
  <si>
    <t>行政部</t>
  </si>
  <si>
    <t>ToC电商-2025年4月项目2</t>
  </si>
  <si>
    <t>收入</t>
  </si>
  <si>
    <t>主营业务收入</t>
  </si>
  <si>
    <t>硬件销售收入</t>
  </si>
  <si>
    <t>杭州区域</t>
  </si>
  <si>
    <t>未回款</t>
  </si>
  <si>
    <t>已开票</t>
  </si>
  <si>
    <t>张三</t>
  </si>
  <si>
    <t>王总</t>
  </si>
  <si>
    <t>硬件销售收入相关收入，杭州区域区域</t>
  </si>
  <si>
    <t>2025-04-15</t>
  </si>
  <si>
    <t>定制化服务业务</t>
  </si>
  <si>
    <t>销售部</t>
  </si>
  <si>
    <t>定制化服务-2025年4月项目1</t>
  </si>
  <si>
    <t>收入</t>
  </si>
  <si>
    <t>营业外收入</t>
  </si>
  <si>
    <t>资产盘盈收入</t>
  </si>
  <si>
    <t>武汉区域</t>
  </si>
  <si>
    <t>已回款</t>
  </si>
  <si>
    <t>已开票</t>
  </si>
  <si>
    <t>孙七</t>
  </si>
  <si>
    <t>李总</t>
  </si>
  <si>
    <t>资产盘盈收入相关收入，武汉区域区域</t>
  </si>
  <si>
    <t>2025-04-25</t>
  </si>
  <si>
    <t>定制化服务业务</t>
  </si>
  <si>
    <t>销售部</t>
  </si>
  <si>
    <t>定制化服务-2025年4月项目6</t>
  </si>
  <si>
    <t>支出</t>
  </si>
  <si>
    <t>财务费用</t>
  </si>
  <si>
    <t>利息支出</t>
  </si>
  <si>
    <t>成都区域</t>
  </si>
  <si>
    <t>已支付</t>
  </si>
  <si>
    <t>未开票</t>
  </si>
  <si>
    <t>孙七</t>
  </si>
  <si>
    <t>陈总</t>
  </si>
  <si>
    <t>利息支出相关支出，成都区域区域</t>
  </si>
  <si>
    <t>2025-04-20</t>
  </si>
  <si>
    <t>ToC电商业务</t>
  </si>
  <si>
    <t>财务部</t>
  </si>
  <si>
    <t>ToC电商-2025年4月项目1</t>
  </si>
  <si>
    <t>收入</t>
  </si>
  <si>
    <t>其他业务收入</t>
  </si>
  <si>
    <t>广告佣金收入</t>
  </si>
  <si>
    <t>广州区域</t>
  </si>
  <si>
    <t>坏账</t>
  </si>
  <si>
    <t>部分开票</t>
  </si>
  <si>
    <t>吴九</t>
  </si>
  <si>
    <t>李总</t>
  </si>
  <si>
    <t>广告佣金收入相关收入，广州区域区域</t>
  </si>
  <si>
    <t>2025-04-27</t>
  </si>
  <si>
    <t>定制化服务业务</t>
  </si>
  <si>
    <t>行政部</t>
  </si>
  <si>
    <t>定制化服务-2025年4月项目6</t>
  </si>
  <si>
    <t>支出</t>
  </si>
  <si>
    <t>销售费用</t>
  </si>
  <si>
    <t>业务招待费</t>
  </si>
  <si>
    <t>成都区域</t>
  </si>
  <si>
    <t>已支付</t>
  </si>
  <si>
    <t>未开票</t>
  </si>
  <si>
    <t>郑十</t>
  </si>
  <si>
    <t>刘总</t>
  </si>
  <si>
    <t>业务招待费相关支出，成都区域区域</t>
  </si>
  <si>
    <t>2025-04-15</t>
  </si>
  <si>
    <t>ToB SaaS业务</t>
  </si>
  <si>
    <t>销售部</t>
  </si>
  <si>
    <t>ToB SaaS-2025年4月项目6</t>
  </si>
  <si>
    <t>收入</t>
  </si>
  <si>
    <t>营业外收入</t>
  </si>
  <si>
    <t>资产盘盈收入</t>
  </si>
  <si>
    <t>武汉区域</t>
  </si>
  <si>
    <t>坏账</t>
  </si>
  <si>
    <t>已开票</t>
  </si>
  <si>
    <t>吴九</t>
  </si>
  <si>
    <t>王总</t>
  </si>
  <si>
    <t>资产盘盈收入相关收入，武汉区域区域</t>
  </si>
  <si>
    <t>2025-04-10</t>
  </si>
  <si>
    <t>ToB SaaS业务</t>
  </si>
  <si>
    <t>行政部</t>
  </si>
  <si>
    <t>ToB SaaS-2025年4月项目9</t>
  </si>
  <si>
    <t>支出</t>
  </si>
  <si>
    <t>财务费用</t>
  </si>
  <si>
    <t>汇兑损益</t>
  </si>
  <si>
    <t>成都区域</t>
  </si>
  <si>
    <t>已支付</t>
  </si>
  <si>
    <t>未开票</t>
  </si>
  <si>
    <t>孙七</t>
  </si>
  <si>
    <t>刘总</t>
  </si>
  <si>
    <t>汇兑损益相关支出，成都区域区域</t>
  </si>
  <si>
    <t>2025-04-25</t>
  </si>
  <si>
    <t>智能硬件销售业务</t>
  </si>
  <si>
    <t>行政部</t>
  </si>
  <si>
    <t>智能硬件销售-2025年4月项目10</t>
  </si>
  <si>
    <t>支出</t>
  </si>
  <si>
    <t>研发费用</t>
  </si>
  <si>
    <t>设备采购费</t>
  </si>
  <si>
    <t>深圳区域</t>
  </si>
  <si>
    <t>已支付</t>
  </si>
  <si>
    <t>未开票</t>
  </si>
  <si>
    <t>王五</t>
  </si>
  <si>
    <t>张总</t>
  </si>
  <si>
    <t>设备采购费相关支出，深圳区域区域</t>
  </si>
  <si>
    <t>2025-04-02</t>
  </si>
  <si>
    <t>智能硬件销售业务</t>
  </si>
  <si>
    <t>行政部</t>
  </si>
  <si>
    <t>智能硬件销售-2025年4月项目10</t>
  </si>
  <si>
    <t>支出</t>
  </si>
  <si>
    <t>主营业务成本</t>
  </si>
  <si>
    <t>硬件生产成本</t>
  </si>
  <si>
    <t>武汉区域</t>
  </si>
  <si>
    <t>已支付</t>
  </si>
  <si>
    <t>已开票</t>
  </si>
  <si>
    <t>郑十</t>
  </si>
  <si>
    <t>刘总</t>
  </si>
  <si>
    <t>硬件生产成本相关支出，武汉区域区域</t>
  </si>
  <si>
    <t>2025-04-16</t>
  </si>
  <si>
    <t>定制化服务业务</t>
  </si>
  <si>
    <t>行政部</t>
  </si>
  <si>
    <t>定制化服务-2025年4月项目3</t>
  </si>
  <si>
    <t>收入</t>
  </si>
  <si>
    <t>主营业务收入</t>
  </si>
  <si>
    <t>SaaS订阅收入</t>
  </si>
  <si>
    <t>上海区域</t>
  </si>
  <si>
    <t>未回款</t>
  </si>
  <si>
    <t>发票作废</t>
  </si>
  <si>
    <t>孙七</t>
  </si>
  <si>
    <t>陈总</t>
  </si>
  <si>
    <t>SaaS订阅收入相关收入，上海区域区域</t>
  </si>
  <si>
    <t>2025-04-02</t>
  </si>
  <si>
    <t>定制化服务业务</t>
  </si>
  <si>
    <t>研发部</t>
  </si>
  <si>
    <t>定制化服务-2025年4月项目4</t>
  </si>
  <si>
    <t>支出</t>
  </si>
  <si>
    <t>主营业务成本</t>
  </si>
  <si>
    <t>商品采购成本</t>
  </si>
  <si>
    <t>广州区域</t>
  </si>
  <si>
    <t>已支付</t>
  </si>
  <si>
    <t>发票作废</t>
  </si>
  <si>
    <t>郑十</t>
  </si>
  <si>
    <t>张总</t>
  </si>
  <si>
    <t>商品采购成本相关支出，广州区域区域</t>
  </si>
  <si>
    <t>2025-04-24</t>
  </si>
  <si>
    <t>智能硬件销售业务</t>
  </si>
  <si>
    <t>销售部</t>
  </si>
  <si>
    <t>智能硬件销售-2025年4月项目1</t>
  </si>
  <si>
    <t>支出</t>
  </si>
  <si>
    <t>营业外支出</t>
  </si>
  <si>
    <t>资产盘亏支出</t>
  </si>
  <si>
    <t>深圳区域</t>
  </si>
  <si>
    <t>已支付</t>
  </si>
  <si>
    <t>未开票</t>
  </si>
  <si>
    <t>孙七</t>
  </si>
  <si>
    <t>陈总</t>
  </si>
  <si>
    <t>资产盘亏支出相关支出，深圳区域区域</t>
  </si>
  <si>
    <t>2025-05-23</t>
  </si>
  <si>
    <t>ToC电商业务</t>
  </si>
  <si>
    <t>财务部</t>
  </si>
  <si>
    <t>ToC电商-2025年5月项目6</t>
  </si>
  <si>
    <t>收入</t>
  </si>
  <si>
    <t>营业外收入</t>
  </si>
  <si>
    <t>资产盘盈收入</t>
  </si>
  <si>
    <t>南京区域</t>
  </si>
  <si>
    <t>未回款</t>
  </si>
  <si>
    <t>未开票</t>
  </si>
  <si>
    <t>郑十</t>
  </si>
  <si>
    <t>陈总</t>
  </si>
  <si>
    <t>资产盘盈收入相关收入，南京区域区域</t>
  </si>
  <si>
    <t>2025-05-23</t>
  </si>
  <si>
    <t>ToB SaaS业务</t>
  </si>
  <si>
    <t>销售部</t>
  </si>
  <si>
    <t>ToB SaaS-2025年5月项目6</t>
  </si>
  <si>
    <t>收入</t>
  </si>
  <si>
    <t>其他业务收入</t>
  </si>
  <si>
    <t>技术服务费收入</t>
  </si>
  <si>
    <t>成都区域</t>
  </si>
  <si>
    <t>部分回款</t>
  </si>
  <si>
    <t>已开票</t>
  </si>
  <si>
    <t>王五</t>
  </si>
  <si>
    <t>刘总</t>
  </si>
  <si>
    <t>技术服务费收入相关收入，成都区域区域</t>
  </si>
  <si>
    <t>2025-05-03</t>
  </si>
  <si>
    <t>ToC电商业务</t>
  </si>
  <si>
    <t>研发部</t>
  </si>
  <si>
    <t>ToC电商-2025年5月项目3</t>
  </si>
  <si>
    <t>支出</t>
  </si>
  <si>
    <t>管理费用</t>
  </si>
  <si>
    <t>管理人员薪酬</t>
  </si>
  <si>
    <t>杭州区域</t>
  </si>
  <si>
    <t>已支付</t>
  </si>
  <si>
    <t>已开票</t>
  </si>
  <si>
    <t>王五</t>
  </si>
  <si>
    <t>张总</t>
  </si>
  <si>
    <t>管理人员薪酬相关支出，杭州区域区域</t>
  </si>
  <si>
    <t>2025-05-06</t>
  </si>
  <si>
    <t>ToC电商业务</t>
  </si>
  <si>
    <t>研发部</t>
  </si>
  <si>
    <t>ToC电商-2025年5月项目9</t>
  </si>
  <si>
    <t>收入</t>
  </si>
  <si>
    <t>其他业务收入</t>
  </si>
  <si>
    <t>广告佣金收入</t>
  </si>
  <si>
    <t>广州区域</t>
  </si>
  <si>
    <t>未回款</t>
  </si>
  <si>
    <t>部分开票</t>
  </si>
  <si>
    <t>张三</t>
  </si>
  <si>
    <t>李总</t>
  </si>
  <si>
    <t>广告佣金收入相关收入，广州区域区域</t>
  </si>
  <si>
    <t>2025-05-11</t>
  </si>
  <si>
    <t>智能硬件销售业务</t>
  </si>
  <si>
    <t>人事部</t>
  </si>
  <si>
    <t>智能硬件销售-2025年5月项目6</t>
  </si>
  <si>
    <t>收入</t>
  </si>
  <si>
    <t>主营业务收入</t>
  </si>
  <si>
    <t>SaaS订阅收入</t>
  </si>
  <si>
    <t>杭州区域</t>
  </si>
  <si>
    <t>未回款</t>
  </si>
  <si>
    <t>未开票</t>
  </si>
  <si>
    <t>李四</t>
  </si>
  <si>
    <t>王总</t>
  </si>
  <si>
    <t>SaaS订阅收入相关收入，杭州区域区域</t>
  </si>
  <si>
    <t>2025-05-10</t>
  </si>
  <si>
    <t>ToB SaaS业务</t>
  </si>
  <si>
    <t>研发部</t>
  </si>
  <si>
    <t>ToB SaaS-2025年5月项目1</t>
  </si>
  <si>
    <t>收入</t>
  </si>
  <si>
    <t>其他业务收入</t>
  </si>
  <si>
    <t>场地租赁收入</t>
  </si>
  <si>
    <t>深圳区域</t>
  </si>
  <si>
    <t>坏账</t>
  </si>
  <si>
    <t>未开票</t>
  </si>
  <si>
    <t>张三</t>
  </si>
  <si>
    <t>王总</t>
  </si>
  <si>
    <t>场地租赁收入相关收入，深圳区域区域</t>
  </si>
  <si>
    <t>2025-05-23</t>
  </si>
  <si>
    <t>ToB SaaS业务</t>
  </si>
  <si>
    <t>研发部</t>
  </si>
  <si>
    <t>ToB SaaS-2025年5月项目6</t>
  </si>
  <si>
    <t>收入</t>
  </si>
  <si>
    <t>其他业务收入</t>
  </si>
  <si>
    <t>广告佣金收入</t>
  </si>
  <si>
    <t>南京区域</t>
  </si>
  <si>
    <t>部分回款</t>
  </si>
  <si>
    <t>已开票</t>
  </si>
  <si>
    <t>李四</t>
  </si>
  <si>
    <t>王总</t>
  </si>
  <si>
    <t>广告佣金收入相关收入，南京区域区域</t>
  </si>
  <si>
    <t>2025-05-24</t>
  </si>
  <si>
    <t>ToB SaaS业务</t>
  </si>
  <si>
    <t>销售部</t>
  </si>
  <si>
    <t>ToB SaaS-2025年5月项目7</t>
  </si>
  <si>
    <t>收入</t>
  </si>
  <si>
    <t>营业外收入</t>
  </si>
  <si>
    <t>违约金收入</t>
  </si>
  <si>
    <t>北京区域</t>
  </si>
  <si>
    <t>未回款</t>
  </si>
  <si>
    <t>发票作废</t>
  </si>
  <si>
    <t>周八</t>
  </si>
  <si>
    <t>王总</t>
  </si>
  <si>
    <t>违约金收入相关收入，北京区域区域</t>
  </si>
  <si>
    <t>2025-05-23</t>
  </si>
  <si>
    <t>ToB SaaS业务</t>
  </si>
  <si>
    <t>行政部</t>
  </si>
  <si>
    <t>ToB SaaS-2025年5月项目7</t>
  </si>
  <si>
    <t>收入</t>
  </si>
  <si>
    <t>其他业务收入</t>
  </si>
  <si>
    <t>广告佣金收入</t>
  </si>
  <si>
    <t>北京区域</t>
  </si>
  <si>
    <t>部分回款</t>
  </si>
  <si>
    <t>未开票</t>
  </si>
  <si>
    <t>张三</t>
  </si>
  <si>
    <t>李总</t>
  </si>
  <si>
    <t>广告佣金收入相关收入，北京区域区域</t>
  </si>
  <si>
    <t>2025-05-26</t>
  </si>
  <si>
    <t>定制化服务业务</t>
  </si>
  <si>
    <t>行政部</t>
  </si>
  <si>
    <t>定制化服务-2025年5月项目5</t>
  </si>
  <si>
    <t>收入</t>
  </si>
  <si>
    <t>其他业务收入</t>
  </si>
  <si>
    <t>场地租赁收入</t>
  </si>
  <si>
    <t>成都区域</t>
  </si>
  <si>
    <t>坏账</t>
  </si>
  <si>
    <t>已开票</t>
  </si>
  <si>
    <t>李四</t>
  </si>
  <si>
    <t>刘总</t>
  </si>
  <si>
    <t>场地租赁收入相关收入，成都区域区域</t>
  </si>
  <si>
    <t>2025-05-10</t>
  </si>
  <si>
    <t>智能硬件销售业务</t>
  </si>
  <si>
    <t>销售部</t>
  </si>
  <si>
    <t>智能硬件销售-2025年5月项目6</t>
  </si>
  <si>
    <t>收入</t>
  </si>
  <si>
    <t>主营业务收入</t>
  </si>
  <si>
    <t>定制服务收入</t>
  </si>
  <si>
    <t>北京区域</t>
  </si>
  <si>
    <t>坏账</t>
  </si>
  <si>
    <t>部分开票</t>
  </si>
  <si>
    <t>周八</t>
  </si>
  <si>
    <t>王总</t>
  </si>
  <si>
    <t>定制服务收入相关收入，北京区域区域</t>
  </si>
  <si>
    <t>2025-05-12</t>
  </si>
  <si>
    <t>ToC电商业务</t>
  </si>
  <si>
    <t>人事部</t>
  </si>
  <si>
    <t>ToC电商-2025年5月项目8</t>
  </si>
  <si>
    <t>支出</t>
  </si>
  <si>
    <t>主营业务成本</t>
  </si>
  <si>
    <t>商品采购成本</t>
  </si>
  <si>
    <t>杭州区域</t>
  </si>
  <si>
    <t>已支付</t>
  </si>
  <si>
    <t>未开票</t>
  </si>
  <si>
    <t>孙七</t>
  </si>
  <si>
    <t>陈总</t>
  </si>
  <si>
    <t>商品采购成本相关支出，杭州区域区域</t>
  </si>
  <si>
    <t>2025-05-02</t>
  </si>
  <si>
    <t>智能硬件销售业务</t>
  </si>
  <si>
    <t>财务部</t>
  </si>
  <si>
    <t>智能硬件销售-2025年5月项目10</t>
  </si>
  <si>
    <t>收入</t>
  </si>
  <si>
    <t>主营业务收入</t>
  </si>
  <si>
    <t>定制服务收入</t>
  </si>
  <si>
    <t>武汉区域</t>
  </si>
  <si>
    <t>已回款</t>
  </si>
  <si>
    <t>发票作废</t>
  </si>
  <si>
    <t>吴九</t>
  </si>
  <si>
    <t>张总</t>
  </si>
  <si>
    <t>定制服务收入相关收入，武汉区域区域</t>
  </si>
  <si>
    <t>2025-05-22</t>
  </si>
  <si>
    <t>ToB SaaS业务</t>
  </si>
  <si>
    <t>行政部</t>
  </si>
  <si>
    <t>ToB SaaS-2025年5月项目8</t>
  </si>
  <si>
    <t>支出</t>
  </si>
  <si>
    <t>销售费用</t>
  </si>
  <si>
    <t>销售人员薪酬</t>
  </si>
  <si>
    <t>杭州区域</t>
  </si>
  <si>
    <t>已支付</t>
  </si>
  <si>
    <t>部分开票</t>
  </si>
  <si>
    <t>张三</t>
  </si>
  <si>
    <t>王总</t>
  </si>
  <si>
    <t>销售人员薪酬相关支出，杭州区域区域</t>
  </si>
  <si>
    <t>2025-05-24</t>
  </si>
  <si>
    <t>定制化服务业务</t>
  </si>
  <si>
    <t>运营部</t>
  </si>
  <si>
    <t>定制化服务-2025年5月项目9</t>
  </si>
  <si>
    <t>收入</t>
  </si>
  <si>
    <t>其他业务收入</t>
  </si>
  <si>
    <t>场地租赁收入</t>
  </si>
  <si>
    <t>广州区域</t>
  </si>
  <si>
    <t>已回款</t>
  </si>
  <si>
    <t>已开票</t>
  </si>
  <si>
    <t>郑十</t>
  </si>
  <si>
    <t>李总</t>
  </si>
  <si>
    <t>场地租赁收入相关收入，广州区域区域</t>
  </si>
  <si>
    <t>2025-06-21</t>
  </si>
  <si>
    <t>ToC电商业务</t>
  </si>
  <si>
    <t>市场部</t>
  </si>
  <si>
    <t>ToC电商-2025年6月项目10</t>
  </si>
  <si>
    <t>收入</t>
  </si>
  <si>
    <t>营业外收入</t>
  </si>
  <si>
    <t>政府补贴</t>
  </si>
  <si>
    <t>广州区域</t>
  </si>
  <si>
    <t>已回款</t>
  </si>
  <si>
    <t>已开票</t>
  </si>
  <si>
    <t>赵六</t>
  </si>
  <si>
    <t>王总</t>
  </si>
  <si>
    <t>政府补贴相关收入，广州区域区域</t>
  </si>
  <si>
    <t>2025-06-08</t>
  </si>
  <si>
    <t>ToB SaaS业务</t>
  </si>
  <si>
    <t>研发部</t>
  </si>
  <si>
    <t>ToB SaaS-2025年6月项目4</t>
  </si>
  <si>
    <t>收入</t>
  </si>
  <si>
    <t>营业外收入</t>
  </si>
  <si>
    <t>资产盘盈收入</t>
  </si>
  <si>
    <t>南京区域</t>
  </si>
  <si>
    <t>部分回款</t>
  </si>
  <si>
    <t>部分开票</t>
  </si>
  <si>
    <t>张三</t>
  </si>
  <si>
    <t>陈总</t>
  </si>
  <si>
    <t>资产盘盈收入相关收入，南京区域区域</t>
  </si>
  <si>
    <t>2025-06-28</t>
  </si>
  <si>
    <t>定制化服务业务</t>
  </si>
  <si>
    <t>研发部</t>
  </si>
  <si>
    <t>定制化服务-2025年6月项目3</t>
  </si>
  <si>
    <t>收入</t>
  </si>
  <si>
    <t>主营业务收入</t>
  </si>
  <si>
    <t>硬件销售收入</t>
  </si>
  <si>
    <t>武汉区域</t>
  </si>
  <si>
    <t>已回款</t>
  </si>
  <si>
    <t>未开票</t>
  </si>
  <si>
    <t>张三</t>
  </si>
  <si>
    <t>刘总</t>
  </si>
  <si>
    <t>硬件销售收入相关收入，武汉区域区域</t>
  </si>
  <si>
    <t>2025-06-24</t>
  </si>
  <si>
    <t>ToC电商业务</t>
  </si>
  <si>
    <t>销售部</t>
  </si>
  <si>
    <t>ToC电商-2025年6月项目6</t>
  </si>
  <si>
    <t>收入</t>
  </si>
  <si>
    <t>其他业务收入</t>
  </si>
  <si>
    <t>场地租赁收入</t>
  </si>
  <si>
    <t>武汉区域</t>
  </si>
  <si>
    <t>部分回款</t>
  </si>
  <si>
    <t>已开票</t>
  </si>
  <si>
    <t>王五</t>
  </si>
  <si>
    <t>王总</t>
  </si>
  <si>
    <t>场地租赁收入相关收入，武汉区域区域</t>
  </si>
  <si>
    <t>2025-06-11</t>
  </si>
  <si>
    <t>ToB SaaS业务</t>
  </si>
  <si>
    <t>销售部</t>
  </si>
  <si>
    <t>ToB SaaS-2025年6月项目8</t>
  </si>
  <si>
    <t>支出</t>
  </si>
  <si>
    <t>财务费用</t>
  </si>
  <si>
    <t>银行手续费</t>
  </si>
  <si>
    <t>广州区域</t>
  </si>
  <si>
    <t>已支付</t>
  </si>
  <si>
    <t>未开票</t>
  </si>
  <si>
    <t>王五</t>
  </si>
  <si>
    <t>刘总</t>
  </si>
  <si>
    <t>银行手续费相关支出，广州区域区域</t>
  </si>
  <si>
    <t>2025-06-21</t>
  </si>
  <si>
    <t>智能硬件销售业务</t>
  </si>
  <si>
    <t>人事部</t>
  </si>
  <si>
    <t>智能硬件销售-2025年6月项目4</t>
  </si>
  <si>
    <t>收入</t>
  </si>
  <si>
    <t>营业外收入</t>
  </si>
  <si>
    <t>违约金收入</t>
  </si>
  <si>
    <t>上海区域</t>
  </si>
  <si>
    <t>已回款</t>
  </si>
  <si>
    <t>未开票</t>
  </si>
  <si>
    <t>李四</t>
  </si>
  <si>
    <t>刘总</t>
  </si>
  <si>
    <t>违约金收入相关收入，上海区域区域</t>
  </si>
  <si>
    <t>2025-06-08</t>
  </si>
  <si>
    <t>ToC电商业务</t>
  </si>
  <si>
    <t>行政部</t>
  </si>
  <si>
    <t>ToC电商-2025年6月项目4</t>
  </si>
  <si>
    <t>收入</t>
  </si>
  <si>
    <t>其他业务收入</t>
  </si>
  <si>
    <t>场地租赁收入</t>
  </si>
  <si>
    <t>武汉区域</t>
  </si>
  <si>
    <t>部分回款</t>
  </si>
  <si>
    <t>发票作废</t>
  </si>
  <si>
    <t>孙七</t>
  </si>
  <si>
    <t>陈总</t>
  </si>
  <si>
    <t>场地租赁收入相关收入，武汉区域区域</t>
  </si>
  <si>
    <t>2025-06-14</t>
  </si>
  <si>
    <t>智能硬件销售业务</t>
  </si>
  <si>
    <t>行政部</t>
  </si>
  <si>
    <t>智能硬件销售-2025年6月项目4</t>
  </si>
  <si>
    <t>支出</t>
  </si>
  <si>
    <t>研发费用</t>
  </si>
  <si>
    <t>测试验收费</t>
  </si>
  <si>
    <t>上海区域</t>
  </si>
  <si>
    <t>已支付</t>
  </si>
  <si>
    <t>发票作废</t>
  </si>
  <si>
    <t>赵六</t>
  </si>
  <si>
    <t>张总</t>
  </si>
  <si>
    <t>测试验收费相关支出，上海区域区域</t>
  </si>
  <si>
    <t>2025-06-21</t>
  </si>
  <si>
    <t>智能硬件销售业务</t>
  </si>
  <si>
    <t>行政部</t>
  </si>
  <si>
    <t>智能硬件销售-2025年6月项目6</t>
  </si>
  <si>
    <t>收入</t>
  </si>
  <si>
    <t>其他业务收入</t>
  </si>
  <si>
    <t>广告佣金收入</t>
  </si>
  <si>
    <t>上海区域</t>
  </si>
  <si>
    <t>坏账</t>
  </si>
  <si>
    <t>部分开票</t>
  </si>
  <si>
    <t>孙七</t>
  </si>
  <si>
    <t>张总</t>
  </si>
  <si>
    <t>广告佣金收入相关收入，上海区域区域</t>
  </si>
  <si>
    <t>2025-06-05</t>
  </si>
  <si>
    <t>ToB SaaS业务</t>
  </si>
  <si>
    <t>销售部</t>
  </si>
  <si>
    <t>ToB SaaS-2025年6月项目3</t>
  </si>
  <si>
    <t>收入</t>
  </si>
  <si>
    <t>其他业务收入</t>
  </si>
  <si>
    <t>技术服务费收入</t>
  </si>
  <si>
    <t>广州区域</t>
  </si>
  <si>
    <t>已回款</t>
  </si>
  <si>
    <t>部分开票</t>
  </si>
  <si>
    <t>张三</t>
  </si>
  <si>
    <t>张总</t>
  </si>
  <si>
    <t>技术服务费收入相关收入，广州区域区域</t>
  </si>
  <si>
    <t>2025-06-08</t>
  </si>
  <si>
    <t>智能硬件销售业务</t>
  </si>
  <si>
    <t>行政部</t>
  </si>
  <si>
    <t>智能硬件销售-2025年6月项目1</t>
  </si>
  <si>
    <t>收入</t>
  </si>
  <si>
    <t>主营业务收入</t>
  </si>
  <si>
    <t>电商销售收入</t>
  </si>
  <si>
    <t>南京区域</t>
  </si>
  <si>
    <t>坏账</t>
  </si>
  <si>
    <t>部分开票</t>
  </si>
  <si>
    <t>孙七</t>
  </si>
  <si>
    <t>陈总</t>
  </si>
  <si>
    <t>电商销售收入相关收入，南京区域区域</t>
  </si>
  <si>
    <t>2025-06-08</t>
  </si>
  <si>
    <t>ToB SaaS业务</t>
  </si>
  <si>
    <t>人事部</t>
  </si>
  <si>
    <t>ToB SaaS-2025年6月项目1</t>
  </si>
  <si>
    <t>收入</t>
  </si>
  <si>
    <t>其他业务收入</t>
  </si>
  <si>
    <t>广告佣金收入</t>
  </si>
  <si>
    <t>上海区域</t>
  </si>
  <si>
    <t>坏账</t>
  </si>
  <si>
    <t>发票作废</t>
  </si>
  <si>
    <t>孙七</t>
  </si>
  <si>
    <t>刘总</t>
  </si>
  <si>
    <t>广告佣金收入相关收入，上海区域区域</t>
  </si>
  <si>
    <t>2025-06-20</t>
  </si>
  <si>
    <t>ToC电商业务</t>
  </si>
  <si>
    <t>运营部</t>
  </si>
  <si>
    <t>ToC电商-2025年6月项目8</t>
  </si>
  <si>
    <t>收入</t>
  </si>
  <si>
    <t>营业外收入</t>
  </si>
  <si>
    <t>资产盘盈收入</t>
  </si>
  <si>
    <t>南京区域</t>
  </si>
  <si>
    <t>未回款</t>
  </si>
  <si>
    <t>未开票</t>
  </si>
  <si>
    <t>孙七</t>
  </si>
  <si>
    <t>陈总</t>
  </si>
  <si>
    <t>资产盘盈收入相关收入，南京区域区域</t>
  </si>
  <si>
    <t>2025-06-10</t>
  </si>
  <si>
    <t>智能硬件销售业务</t>
  </si>
  <si>
    <t>研发部</t>
  </si>
  <si>
    <t>智能硬件销售-2025年6月项目7</t>
  </si>
  <si>
    <t>收入</t>
  </si>
  <si>
    <t>营业外收入</t>
  </si>
  <si>
    <t>资产盘盈收入</t>
  </si>
  <si>
    <t>杭州区域</t>
  </si>
  <si>
    <t>部分回款</t>
  </si>
  <si>
    <t>未开票</t>
  </si>
  <si>
    <t>孙七</t>
  </si>
  <si>
    <t>李总</t>
  </si>
  <si>
    <t>资产盘盈收入相关收入，杭州区域区域</t>
  </si>
  <si>
    <t>2025-06-24</t>
  </si>
  <si>
    <t>ToC电商业务</t>
  </si>
  <si>
    <t>研发部</t>
  </si>
  <si>
    <t>ToC电商-2025年6月项目1</t>
  </si>
  <si>
    <t>收入</t>
  </si>
  <si>
    <t>主营业务收入</t>
  </si>
  <si>
    <t>硬件销售收入</t>
  </si>
  <si>
    <t>北京区域</t>
  </si>
  <si>
    <t>已回款</t>
  </si>
  <si>
    <t>发票作废</t>
  </si>
  <si>
    <t>孙七</t>
  </si>
  <si>
    <t>李总</t>
  </si>
  <si>
    <t>硬件销售收入相关收入，北京区域区域</t>
  </si>
  <si>
    <t>2025-07-19</t>
  </si>
  <si>
    <t>智能硬件销售业务</t>
  </si>
  <si>
    <t>运营部</t>
  </si>
  <si>
    <t>智能硬件销售-2025年7月项目1</t>
  </si>
  <si>
    <t>收入</t>
  </si>
  <si>
    <t>其他业务收入</t>
  </si>
  <si>
    <t>场地租赁收入</t>
  </si>
  <si>
    <t>北京区域</t>
  </si>
  <si>
    <t>部分回款</t>
  </si>
  <si>
    <t>发票作废</t>
  </si>
  <si>
    <t>吴九</t>
  </si>
  <si>
    <t>张总</t>
  </si>
  <si>
    <t>场地租赁收入相关收入，北京区域区域</t>
  </si>
  <si>
    <t>2025-07-07</t>
  </si>
  <si>
    <t>ToC电商业务</t>
  </si>
  <si>
    <t>财务部</t>
  </si>
  <si>
    <t>ToC电商-2025年7月项目10</t>
  </si>
  <si>
    <t>收入</t>
  </si>
  <si>
    <t>营业外收入</t>
  </si>
  <si>
    <t>政府补贴</t>
  </si>
  <si>
    <t>杭州区域</t>
  </si>
  <si>
    <t>部分回款</t>
  </si>
  <si>
    <t>未开票</t>
  </si>
  <si>
    <t>赵六</t>
  </si>
  <si>
    <t>李总</t>
  </si>
  <si>
    <t>政府补贴相关收入，杭州区域区域</t>
  </si>
  <si>
    <t>2025-07-07</t>
  </si>
  <si>
    <t>ToC电商业务</t>
  </si>
  <si>
    <t>人事部</t>
  </si>
  <si>
    <t>ToC电商-2025年7月项目9</t>
  </si>
  <si>
    <t>收入</t>
  </si>
  <si>
    <t>主营业务收入</t>
  </si>
  <si>
    <t>电商销售收入</t>
  </si>
  <si>
    <t>杭州区域</t>
  </si>
  <si>
    <t>未回款</t>
  </si>
  <si>
    <t>部分开票</t>
  </si>
  <si>
    <t>周八</t>
  </si>
  <si>
    <t>王总</t>
  </si>
  <si>
    <t>电商销售收入相关收入，杭州区域区域</t>
  </si>
  <si>
    <t>2025-07-13</t>
  </si>
  <si>
    <t>定制化服务业务</t>
  </si>
  <si>
    <t>销售部</t>
  </si>
  <si>
    <t>定制化服务-2025年7月项目5</t>
  </si>
  <si>
    <t>收入</t>
  </si>
  <si>
    <t>营业外收入</t>
  </si>
  <si>
    <t>资产盘盈收入</t>
  </si>
  <si>
    <t>杭州区域</t>
  </si>
  <si>
    <t>未回款</t>
  </si>
  <si>
    <t>未开票</t>
  </si>
  <si>
    <t>郑十</t>
  </si>
  <si>
    <t>李总</t>
  </si>
  <si>
    <t>资产盘盈收入相关收入，杭州区域区域</t>
  </si>
  <si>
    <t>2025-07-28</t>
  </si>
  <si>
    <t>ToC电商业务</t>
  </si>
  <si>
    <t>人事部</t>
  </si>
  <si>
    <t>ToC电商-2025年7月项目6</t>
  </si>
  <si>
    <t>收入</t>
  </si>
  <si>
    <t>营业外收入</t>
  </si>
  <si>
    <t>资产盘盈收入</t>
  </si>
  <si>
    <t>杭州区域</t>
  </si>
  <si>
    <t>坏账</t>
  </si>
  <si>
    <t>已开票</t>
  </si>
  <si>
    <t>孙七</t>
  </si>
  <si>
    <t>张总</t>
  </si>
  <si>
    <t>资产盘盈收入相关收入，杭州区域区域</t>
  </si>
  <si>
    <t>2025-07-22</t>
  </si>
  <si>
    <t>ToB SaaS业务</t>
  </si>
  <si>
    <t>行政部</t>
  </si>
  <si>
    <t>ToB SaaS-2025年7月项目3</t>
  </si>
  <si>
    <t>收入</t>
  </si>
  <si>
    <t>其他业务收入</t>
  </si>
  <si>
    <t>场地租赁收入</t>
  </si>
  <si>
    <t>北京区域</t>
  </si>
  <si>
    <t>坏账</t>
  </si>
  <si>
    <t>部分开票</t>
  </si>
  <si>
    <t>郑十</t>
  </si>
  <si>
    <t>王总</t>
  </si>
  <si>
    <t>场地租赁收入相关收入，北京区域区域</t>
  </si>
  <si>
    <t>2025-07-08</t>
  </si>
  <si>
    <t>ToB SaaS业务</t>
  </si>
  <si>
    <t>财务部</t>
  </si>
  <si>
    <t>ToB SaaS-2025年7月项目7</t>
  </si>
  <si>
    <t>收入</t>
  </si>
  <si>
    <t>主营业务收入</t>
  </si>
  <si>
    <t>硬件销售收入</t>
  </si>
  <si>
    <t>广州区域</t>
  </si>
  <si>
    <t>部分回款</t>
  </si>
  <si>
    <t>已开票</t>
  </si>
  <si>
    <t>周八</t>
  </si>
  <si>
    <t>张总</t>
  </si>
  <si>
    <t>硬件销售收入相关收入，广州区域区域</t>
  </si>
  <si>
    <t>2025-07-02</t>
  </si>
  <si>
    <t>定制化服务业务</t>
  </si>
  <si>
    <t>行政部</t>
  </si>
  <si>
    <t>定制化服务-2025年7月项目1</t>
  </si>
  <si>
    <t>收入</t>
  </si>
  <si>
    <t>营业外收入</t>
  </si>
  <si>
    <t>政府补贴</t>
  </si>
  <si>
    <t>深圳区域</t>
  </si>
  <si>
    <t>已回款</t>
  </si>
  <si>
    <t>发票作废</t>
  </si>
  <si>
    <t>周八</t>
  </si>
  <si>
    <t>李总</t>
  </si>
  <si>
    <t>政府补贴相关收入，深圳区域区域</t>
  </si>
  <si>
    <t>2025-07-21</t>
  </si>
  <si>
    <t>ToB SaaS业务</t>
  </si>
  <si>
    <t>运营部</t>
  </si>
  <si>
    <t>ToB SaaS-2025年7月项目2</t>
  </si>
  <si>
    <t>收入</t>
  </si>
  <si>
    <t>主营业务收入</t>
  </si>
  <si>
    <t>SaaS订阅收入</t>
  </si>
  <si>
    <t>成都区域</t>
  </si>
  <si>
    <t>未回款</t>
  </si>
  <si>
    <t>部分开票</t>
  </si>
  <si>
    <t>吴九</t>
  </si>
  <si>
    <t>陈总</t>
  </si>
  <si>
    <t>SaaS订阅收入相关收入，成都区域区域</t>
  </si>
  <si>
    <t>2025-07-03</t>
  </si>
  <si>
    <t>智能硬件销售业务</t>
  </si>
  <si>
    <t>研发部</t>
  </si>
  <si>
    <t>智能硬件销售-2025年7月项目4</t>
  </si>
  <si>
    <t>收入</t>
  </si>
  <si>
    <t>营业外收入</t>
  </si>
  <si>
    <t>违约金收入</t>
  </si>
  <si>
    <t>武汉区域</t>
  </si>
  <si>
    <t>未回款</t>
  </si>
  <si>
    <t>部分开票</t>
  </si>
  <si>
    <t>王五</t>
  </si>
  <si>
    <t>刘总</t>
  </si>
  <si>
    <t>违约金收入相关收入，武汉区域区域</t>
  </si>
  <si>
    <t>2025-07-05</t>
  </si>
  <si>
    <t>ToC电商业务</t>
  </si>
  <si>
    <t>行政部</t>
  </si>
  <si>
    <t>ToC电商-2025年7月项目2</t>
  </si>
  <si>
    <t>收入</t>
  </si>
  <si>
    <t>其他业务收入</t>
  </si>
  <si>
    <t>场地租赁收入</t>
  </si>
  <si>
    <t>南京区域</t>
  </si>
  <si>
    <t>未回款</t>
  </si>
  <si>
    <t>已开票</t>
  </si>
  <si>
    <t>周八</t>
  </si>
  <si>
    <t>陈总</t>
  </si>
  <si>
    <t>场地租赁收入相关收入，南京区域区域</t>
  </si>
  <si>
    <t>2025-07-09</t>
  </si>
  <si>
    <t>定制化服务业务</t>
  </si>
  <si>
    <t>行政部</t>
  </si>
  <si>
    <t>定制化服务-2025年7月项目2</t>
  </si>
  <si>
    <t>支出</t>
  </si>
  <si>
    <t>管理费用</t>
  </si>
  <si>
    <t>房租物业费</t>
  </si>
  <si>
    <t>北京区域</t>
  </si>
  <si>
    <t>已支付</t>
  </si>
  <si>
    <t>已开票</t>
  </si>
  <si>
    <t>周八</t>
  </si>
  <si>
    <t>李总</t>
  </si>
  <si>
    <t>房租物业费相关支出，北京区域区域</t>
  </si>
  <si>
    <t>2025-07-05</t>
  </si>
  <si>
    <t>智能硬件销售业务</t>
  </si>
  <si>
    <t>人事部</t>
  </si>
  <si>
    <t>智能硬件销售-2025年7月项目10</t>
  </si>
  <si>
    <t>收入</t>
  </si>
  <si>
    <t>其他业务收入</t>
  </si>
  <si>
    <t>技术服务费收入</t>
  </si>
  <si>
    <t>上海区域</t>
  </si>
  <si>
    <t>已回款</t>
  </si>
  <si>
    <t>已开票</t>
  </si>
  <si>
    <t>孙七</t>
  </si>
  <si>
    <t>王总</t>
  </si>
  <si>
    <t>技术服务费收入相关收入，上海区域区域</t>
  </si>
  <si>
    <t>2025-07-08</t>
  </si>
  <si>
    <t>ToB SaaS业务</t>
  </si>
  <si>
    <t>运营部</t>
  </si>
  <si>
    <t>ToB SaaS-2025年7月项目7</t>
  </si>
  <si>
    <t>支出</t>
  </si>
  <si>
    <t>研发费用</t>
  </si>
  <si>
    <t>研发人员薪酬</t>
  </si>
  <si>
    <t>杭州区域</t>
  </si>
  <si>
    <t>已支付</t>
  </si>
  <si>
    <t>未开票</t>
  </si>
  <si>
    <t>李四</t>
  </si>
  <si>
    <t>王总</t>
  </si>
  <si>
    <t>研发人员薪酬相关支出，杭州区域区域</t>
  </si>
  <si>
    <t>2025-07-17</t>
  </si>
  <si>
    <t>ToB SaaS业务</t>
  </si>
  <si>
    <t>人事部</t>
  </si>
  <si>
    <t>ToB SaaS-2025年7月项目5</t>
  </si>
  <si>
    <t>收入</t>
  </si>
  <si>
    <t>营业外收入</t>
  </si>
  <si>
    <t>政府补贴</t>
  </si>
  <si>
    <t>广州区域</t>
  </si>
  <si>
    <t>已回款</t>
  </si>
  <si>
    <t>部分开票</t>
  </si>
  <si>
    <t>李四</t>
  </si>
  <si>
    <t>张总</t>
  </si>
  <si>
    <t>政府补贴相关收入，广州区域区域</t>
  </si>
  <si>
    <t>2025-08-27</t>
  </si>
  <si>
    <t>智能硬件销售业务</t>
  </si>
  <si>
    <t>财务部</t>
  </si>
  <si>
    <t>智能硬件销售-2025年8月项目5</t>
  </si>
  <si>
    <t>收入</t>
  </si>
  <si>
    <t>营业外收入</t>
  </si>
  <si>
    <t>违约金收入</t>
  </si>
  <si>
    <t>广州区域</t>
  </si>
  <si>
    <t>部分回款</t>
  </si>
  <si>
    <t>发票作废</t>
  </si>
  <si>
    <t>周八</t>
  </si>
  <si>
    <t>李总</t>
  </si>
  <si>
    <t>违约金收入相关收入，广州区域区域</t>
  </si>
  <si>
    <t>2025-08-02</t>
  </si>
  <si>
    <t>智能硬件销售业务</t>
  </si>
  <si>
    <t>财务部</t>
  </si>
  <si>
    <t>智能硬件销售-2025年8月项目10</t>
  </si>
  <si>
    <t>收入</t>
  </si>
  <si>
    <t>主营业务收入</t>
  </si>
  <si>
    <t>定制服务收入</t>
  </si>
  <si>
    <t>深圳区域</t>
  </si>
  <si>
    <t>坏账</t>
  </si>
  <si>
    <t>发票作废</t>
  </si>
  <si>
    <t>王五</t>
  </si>
  <si>
    <t>王总</t>
  </si>
  <si>
    <t>定制服务收入相关收入，深圳区域区域</t>
  </si>
  <si>
    <t>2025-08-11</t>
  </si>
  <si>
    <t>ToB SaaS业务</t>
  </si>
  <si>
    <t>行政部</t>
  </si>
  <si>
    <t>ToB SaaS-2025年8月项目8</t>
  </si>
  <si>
    <t>支出</t>
  </si>
  <si>
    <t>研发费用</t>
  </si>
  <si>
    <t>研发人员薪酬</t>
  </si>
  <si>
    <t>武汉区域</t>
  </si>
  <si>
    <t>已支付</t>
  </si>
  <si>
    <t>发票作废</t>
  </si>
  <si>
    <t>王五</t>
  </si>
  <si>
    <t>王总</t>
  </si>
  <si>
    <t>研发人员薪酬相关支出，武汉区域区域</t>
  </si>
  <si>
    <t>2025-08-01</t>
  </si>
  <si>
    <t>智能硬件销售业务</t>
  </si>
  <si>
    <t>财务部</t>
  </si>
  <si>
    <t>智能硬件销售-2025年8月项目8</t>
  </si>
  <si>
    <t>收入</t>
  </si>
  <si>
    <t>其他业务收入</t>
  </si>
  <si>
    <t>技术服务费收入</t>
  </si>
  <si>
    <t>成都区域</t>
  </si>
  <si>
    <t>已回款</t>
  </si>
  <si>
    <t>未开票</t>
  </si>
  <si>
    <t>李四</t>
  </si>
  <si>
    <t>陈总</t>
  </si>
  <si>
    <t>技术服务费收入相关收入，成都区域区域</t>
  </si>
  <si>
    <t>2025-08-17</t>
  </si>
  <si>
    <t>ToB SaaS业务</t>
  </si>
  <si>
    <t>行政部</t>
  </si>
  <si>
    <t>ToB SaaS-2025年8月项目5</t>
  </si>
  <si>
    <t>支出</t>
  </si>
  <si>
    <t>主营业务成本</t>
  </si>
  <si>
    <t>商品采购成本</t>
  </si>
  <si>
    <t>南京区域</t>
  </si>
  <si>
    <t>已支付</t>
  </si>
  <si>
    <t>发票作废</t>
  </si>
  <si>
    <t>王五</t>
  </si>
  <si>
    <t>刘总</t>
  </si>
  <si>
    <t>商品采购成本相关支出，南京区域区域</t>
  </si>
  <si>
    <t>2025-08-27</t>
  </si>
  <si>
    <t>智能硬件销售业务</t>
  </si>
  <si>
    <t>行政部</t>
  </si>
  <si>
    <t>智能硬件销售-2025年8月项目3</t>
  </si>
  <si>
    <t>支出</t>
  </si>
  <si>
    <t>销售费用</t>
  </si>
  <si>
    <t>差旅费</t>
  </si>
  <si>
    <t>深圳区域</t>
  </si>
  <si>
    <t>已支付</t>
  </si>
  <si>
    <t>部分开票</t>
  </si>
  <si>
    <t>李四</t>
  </si>
  <si>
    <t>李总</t>
  </si>
  <si>
    <t>差旅费相关支出，深圳区域区域</t>
  </si>
  <si>
    <t>2025-08-28</t>
  </si>
  <si>
    <t>定制化服务业务</t>
  </si>
  <si>
    <t>人事部</t>
  </si>
  <si>
    <t>定制化服务-2025年8月项目3</t>
  </si>
  <si>
    <t>支出</t>
  </si>
  <si>
    <t>主营业务成本</t>
  </si>
  <si>
    <t>技术服务成本</t>
  </si>
  <si>
    <t>广州区域</t>
  </si>
  <si>
    <t>已支付</t>
  </si>
  <si>
    <t>已开票</t>
  </si>
  <si>
    <t>王五</t>
  </si>
  <si>
    <t>张总</t>
  </si>
  <si>
    <t>技术服务成本相关支出，广州区域区域</t>
  </si>
  <si>
    <t>2025-08-14</t>
  </si>
  <si>
    <t>智能硬件销售业务</t>
  </si>
  <si>
    <t>财务部</t>
  </si>
  <si>
    <t>智能硬件销售-2025年8月项目10</t>
  </si>
  <si>
    <t>收入</t>
  </si>
  <si>
    <t>营业外收入</t>
  </si>
  <si>
    <t>违约金收入</t>
  </si>
  <si>
    <t>武汉区域</t>
  </si>
  <si>
    <t>未回款</t>
  </si>
  <si>
    <t>已开票</t>
  </si>
  <si>
    <t>周八</t>
  </si>
  <si>
    <t>陈总</t>
  </si>
  <si>
    <t>违约金收入相关收入，武汉区域区域</t>
  </si>
  <si>
    <t>2025-08-10</t>
  </si>
  <si>
    <t>智能硬件销售业务</t>
  </si>
  <si>
    <t>行政部</t>
  </si>
  <si>
    <t>智能硬件销售-2025年8月项目6</t>
  </si>
  <si>
    <t>收入</t>
  </si>
  <si>
    <t>主营业务收入</t>
  </si>
  <si>
    <t>定制服务收入</t>
  </si>
  <si>
    <t>北京区域</t>
  </si>
  <si>
    <t>坏账</t>
  </si>
  <si>
    <t>部分开票</t>
  </si>
  <si>
    <t>赵六</t>
  </si>
  <si>
    <t>陈总</t>
  </si>
  <si>
    <t>定制服务收入相关收入，北京区域区域</t>
  </si>
  <si>
    <t>2025-08-03</t>
  </si>
  <si>
    <t>智能硬件销售业务</t>
  </si>
  <si>
    <t>市场部</t>
  </si>
  <si>
    <t>智能硬件销售-2025年8月项目4</t>
  </si>
  <si>
    <t>收入</t>
  </si>
  <si>
    <t>其他业务收入</t>
  </si>
  <si>
    <t>技术服务费收入</t>
  </si>
  <si>
    <t>成都区域</t>
  </si>
  <si>
    <t>未回款</t>
  </si>
  <si>
    <t>未开票</t>
  </si>
  <si>
    <t>赵六</t>
  </si>
  <si>
    <t>刘总</t>
  </si>
  <si>
    <t>技术服务费收入相关收入，成都区域区域</t>
  </si>
  <si>
    <t>2025-08-05</t>
  </si>
  <si>
    <t>智能硬件销售业务</t>
  </si>
  <si>
    <t>财务部</t>
  </si>
  <si>
    <t>智能硬件销售-2025年8月项目8</t>
  </si>
  <si>
    <t>收入</t>
  </si>
  <si>
    <t>营业外收入</t>
  </si>
  <si>
    <t>政府补贴</t>
  </si>
  <si>
    <t>深圳区域</t>
  </si>
  <si>
    <t>未回款</t>
  </si>
  <si>
    <t>部分开票</t>
  </si>
  <si>
    <t>张三</t>
  </si>
  <si>
    <t>王总</t>
  </si>
  <si>
    <t>政府补贴相关收入，深圳区域区域</t>
  </si>
  <si>
    <t>2025-08-07</t>
  </si>
  <si>
    <t>ToC电商业务</t>
  </si>
  <si>
    <t>销售部</t>
  </si>
  <si>
    <t>ToC电商-2025年8月项目9</t>
  </si>
  <si>
    <t>支出</t>
  </si>
  <si>
    <t>营业外支出</t>
  </si>
  <si>
    <t>捐赠支出</t>
  </si>
  <si>
    <t>上海区域</t>
  </si>
  <si>
    <t>已支付</t>
  </si>
  <si>
    <t>发票作废</t>
  </si>
  <si>
    <t>张三</t>
  </si>
  <si>
    <t>刘总</t>
  </si>
  <si>
    <t>捐赠支出相关支出，上海区域区域</t>
  </si>
  <si>
    <t>2025-08-19</t>
  </si>
  <si>
    <t>定制化服务业务</t>
  </si>
  <si>
    <t>财务部</t>
  </si>
  <si>
    <t>定制化服务-2025年8月项目4</t>
  </si>
  <si>
    <t>收入</t>
  </si>
  <si>
    <t>营业外收入</t>
  </si>
  <si>
    <t>资产盘盈收入</t>
  </si>
  <si>
    <t>武汉区域</t>
  </si>
  <si>
    <t>坏账</t>
  </si>
  <si>
    <t>部分开票</t>
  </si>
  <si>
    <t>王五</t>
  </si>
  <si>
    <t>刘总</t>
  </si>
  <si>
    <t>资产盘盈收入相关收入，武汉区域区域</t>
  </si>
  <si>
    <t>2025-08-12</t>
  </si>
  <si>
    <t>ToB SaaS业务</t>
  </si>
  <si>
    <t>行政部</t>
  </si>
  <si>
    <t>ToB SaaS-2025年8月项目4</t>
  </si>
  <si>
    <t>支出</t>
  </si>
  <si>
    <t>财务费用</t>
  </si>
  <si>
    <t>利息支出</t>
  </si>
  <si>
    <t>上海区域</t>
  </si>
  <si>
    <t>已支付</t>
  </si>
  <si>
    <t>发票作废</t>
  </si>
  <si>
    <t>周八</t>
  </si>
  <si>
    <t>陈总</t>
  </si>
  <si>
    <t>利息支出相关支出，上海区域区域</t>
  </si>
  <si>
    <t>2025-08-24</t>
  </si>
  <si>
    <t>定制化服务业务</t>
  </si>
  <si>
    <t>人事部</t>
  </si>
  <si>
    <t>定制化服务-2025年8月项目10</t>
  </si>
  <si>
    <t>支出</t>
  </si>
  <si>
    <t>销售费用</t>
  </si>
  <si>
    <t>业务招待费</t>
  </si>
  <si>
    <t>深圳区域</t>
  </si>
  <si>
    <t>已支付</t>
  </si>
  <si>
    <t>已开票</t>
  </si>
  <si>
    <t>吴九</t>
  </si>
  <si>
    <t>李总</t>
  </si>
  <si>
    <t>业务招待费相关支出，深圳区域区域</t>
  </si>
  <si>
    <t>2025-09-12</t>
  </si>
  <si>
    <t>定制化服务业务</t>
  </si>
  <si>
    <t>运营部</t>
  </si>
  <si>
    <t>定制化服务-2025年9月项目2</t>
  </si>
  <si>
    <t>支出</t>
  </si>
  <si>
    <t>管理费用</t>
  </si>
  <si>
    <t>房租物业费</t>
  </si>
  <si>
    <t>北京区域</t>
  </si>
  <si>
    <t>已支付</t>
  </si>
  <si>
    <t>已开票</t>
  </si>
  <si>
    <t>李四</t>
  </si>
  <si>
    <t>陈总</t>
  </si>
  <si>
    <t>房租物业费相关支出，北京区域区域</t>
  </si>
  <si>
    <t>2025-09-05</t>
  </si>
  <si>
    <t>智能硬件销售业务</t>
  </si>
  <si>
    <t>人事部</t>
  </si>
  <si>
    <t>智能硬件销售-2025年9月项目6</t>
  </si>
  <si>
    <t>支出</t>
  </si>
  <si>
    <t>研发费用</t>
  </si>
  <si>
    <t>技术研发费</t>
  </si>
  <si>
    <t>武汉区域</t>
  </si>
  <si>
    <t>已支付</t>
  </si>
  <si>
    <t>部分开票</t>
  </si>
  <si>
    <t>王五</t>
  </si>
  <si>
    <t>张总</t>
  </si>
  <si>
    <t>技术研发费相关支出，武汉区域区域</t>
  </si>
  <si>
    <t>2025-09-06</t>
  </si>
  <si>
    <t>ToC电商业务</t>
  </si>
  <si>
    <t>行政部</t>
  </si>
  <si>
    <t>ToC电商-2025年9月项目5</t>
  </si>
  <si>
    <t>支出</t>
  </si>
  <si>
    <t>管理费用</t>
  </si>
  <si>
    <t>折旧摊销费</t>
  </si>
  <si>
    <t>武汉区域</t>
  </si>
  <si>
    <t>已支付</t>
  </si>
  <si>
    <t>发票作废</t>
  </si>
  <si>
    <t>周八</t>
  </si>
  <si>
    <t>李总</t>
  </si>
  <si>
    <t>折旧摊销费相关支出，武汉区域区域</t>
  </si>
  <si>
    <t>2025-09-16</t>
  </si>
  <si>
    <t>定制化服务业务</t>
  </si>
  <si>
    <t>行政部</t>
  </si>
  <si>
    <t>定制化服务-2025年9月项目5</t>
  </si>
  <si>
    <t>支出</t>
  </si>
  <si>
    <t>研发费用</t>
  </si>
  <si>
    <t>测试验收费</t>
  </si>
  <si>
    <t>北京区域</t>
  </si>
  <si>
    <t>已支付</t>
  </si>
  <si>
    <t>已开票</t>
  </si>
  <si>
    <t>吴九</t>
  </si>
  <si>
    <t>王总</t>
  </si>
  <si>
    <t>测试验收费相关支出，北京区域区域</t>
  </si>
  <si>
    <t>2025-09-23</t>
  </si>
  <si>
    <t>ToC电商业务</t>
  </si>
  <si>
    <t>人事部</t>
  </si>
  <si>
    <t>ToC电商-2025年9月项目5</t>
  </si>
  <si>
    <t>支出</t>
  </si>
  <si>
    <t>营业外支出</t>
  </si>
  <si>
    <t>违约金支出</t>
  </si>
  <si>
    <t>深圳区域</t>
  </si>
  <si>
    <t>已支付</t>
  </si>
  <si>
    <t>部分开票</t>
  </si>
  <si>
    <t>周八</t>
  </si>
  <si>
    <t>刘总</t>
  </si>
  <si>
    <t>违约金支出相关支出，深圳区域区域</t>
  </si>
  <si>
    <t>2025-09-22</t>
  </si>
  <si>
    <t>智能硬件销售业务</t>
  </si>
  <si>
    <t>人事部</t>
  </si>
  <si>
    <t>智能硬件销售-2025年9月项目2</t>
  </si>
  <si>
    <t>收入</t>
  </si>
  <si>
    <t>营业外收入</t>
  </si>
  <si>
    <t>资产盘盈收入</t>
  </si>
  <si>
    <t>南京区域</t>
  </si>
  <si>
    <t>已回款</t>
  </si>
  <si>
    <t>部分开票</t>
  </si>
  <si>
    <t>吴九</t>
  </si>
  <si>
    <t>刘总</t>
  </si>
  <si>
    <t>资产盘盈收入相关收入，南京区域区域</t>
  </si>
  <si>
    <t>2025-09-03</t>
  </si>
  <si>
    <t>定制化服务业务</t>
  </si>
  <si>
    <t>财务部</t>
  </si>
  <si>
    <t>定制化服务-2025年9月项目7</t>
  </si>
  <si>
    <t>收入</t>
  </si>
  <si>
    <t>主营业务收入</t>
  </si>
  <si>
    <t>硬件销售收入</t>
  </si>
  <si>
    <t>上海区域</t>
  </si>
  <si>
    <t>已回款</t>
  </si>
  <si>
    <t>发票作废</t>
  </si>
  <si>
    <t>周八</t>
  </si>
  <si>
    <t>张总</t>
  </si>
  <si>
    <t>硬件销售收入相关收入，上海区域区域</t>
  </si>
  <si>
    <t>2025-09-06</t>
  </si>
  <si>
    <t>ToB SaaS业务</t>
  </si>
  <si>
    <t>研发部</t>
  </si>
  <si>
    <t>ToB SaaS-2025年9月项目5</t>
  </si>
  <si>
    <t>收入</t>
  </si>
  <si>
    <t>其他业务收入</t>
  </si>
  <si>
    <t>广告佣金收入</t>
  </si>
  <si>
    <t>广州区域</t>
  </si>
  <si>
    <t>未回款</t>
  </si>
  <si>
    <t>已开票</t>
  </si>
  <si>
    <t>吴九</t>
  </si>
  <si>
    <t>张总</t>
  </si>
  <si>
    <t>广告佣金收入相关收入，广州区域区域</t>
  </si>
  <si>
    <t>2025-09-19</t>
  </si>
  <si>
    <t>定制化服务业务</t>
  </si>
  <si>
    <t>研发部</t>
  </si>
  <si>
    <t>定制化服务-2025年9月项目4</t>
  </si>
  <si>
    <t>支出</t>
  </si>
  <si>
    <t>营业外支出</t>
  </si>
  <si>
    <t>违约金支出</t>
  </si>
  <si>
    <t>成都区域</t>
  </si>
  <si>
    <t>已支付</t>
  </si>
  <si>
    <t>发票作废</t>
  </si>
  <si>
    <t>孙七</t>
  </si>
  <si>
    <t>李总</t>
  </si>
  <si>
    <t>违约金支出相关支出，成都区域区域</t>
  </si>
  <si>
    <t>2025-09-26</t>
  </si>
  <si>
    <t>ToB SaaS业务</t>
  </si>
  <si>
    <t>市场部</t>
  </si>
  <si>
    <t>ToB SaaS-2025年9月项目10</t>
  </si>
  <si>
    <t>支出</t>
  </si>
  <si>
    <t>财务费用</t>
  </si>
  <si>
    <t>汇兑损益</t>
  </si>
  <si>
    <t>杭州区域</t>
  </si>
  <si>
    <t>已支付</t>
  </si>
  <si>
    <t>已开票</t>
  </si>
  <si>
    <t>王五</t>
  </si>
  <si>
    <t>李总</t>
  </si>
  <si>
    <t>汇兑损益相关支出，杭州区域区域</t>
  </si>
  <si>
    <t>2025-09-02</t>
  </si>
  <si>
    <t>定制化服务业务</t>
  </si>
  <si>
    <t>市场部</t>
  </si>
  <si>
    <t>定制化服务-2025年9月项目6</t>
  </si>
  <si>
    <t>支出</t>
  </si>
  <si>
    <t>财务费用</t>
  </si>
  <si>
    <t>利息支出</t>
  </si>
  <si>
    <t>广州区域</t>
  </si>
  <si>
    <t>已支付</t>
  </si>
  <si>
    <t>已开票</t>
  </si>
  <si>
    <t>李四</t>
  </si>
  <si>
    <t>刘总</t>
  </si>
  <si>
    <t>利息支出相关支出，广州区域区域</t>
  </si>
  <si>
    <t>2025-09-23</t>
  </si>
  <si>
    <t>智能硬件销售业务</t>
  </si>
  <si>
    <t>行政部</t>
  </si>
  <si>
    <t>智能硬件销售-2025年9月项目9</t>
  </si>
  <si>
    <t>收入</t>
  </si>
  <si>
    <t>主营业务收入</t>
  </si>
  <si>
    <t>硬件销售收入</t>
  </si>
  <si>
    <t>武汉区域</t>
  </si>
  <si>
    <t>已回款</t>
  </si>
  <si>
    <t>部分开票</t>
  </si>
  <si>
    <t>张三</t>
  </si>
  <si>
    <t>张总</t>
  </si>
  <si>
    <t>硬件销售收入相关收入，武汉区域区域</t>
  </si>
  <si>
    <t>2025-09-12</t>
  </si>
  <si>
    <t>智能硬件销售业务</t>
  </si>
  <si>
    <t>行政部</t>
  </si>
  <si>
    <t>智能硬件销售-2025年9月项目2</t>
  </si>
  <si>
    <t>支出</t>
  </si>
  <si>
    <t>财务费用</t>
  </si>
  <si>
    <t>银行手续费</t>
  </si>
  <si>
    <t>杭州区域</t>
  </si>
  <si>
    <t>已支付</t>
  </si>
  <si>
    <t>未开票</t>
  </si>
  <si>
    <t>李四</t>
  </si>
  <si>
    <t>陈总</t>
  </si>
  <si>
    <t>银行手续费相关支出，杭州区域区域</t>
  </si>
  <si>
    <t>2025-09-23</t>
  </si>
  <si>
    <t>ToB SaaS业务</t>
  </si>
  <si>
    <t>市场部</t>
  </si>
  <si>
    <t>ToB SaaS-2025年9月项目7</t>
  </si>
  <si>
    <t>支出</t>
  </si>
  <si>
    <t>管理费用</t>
  </si>
  <si>
    <t>办公费</t>
  </si>
  <si>
    <t>南京区域</t>
  </si>
  <si>
    <t>已支付</t>
  </si>
  <si>
    <t>未开票</t>
  </si>
  <si>
    <t>郑十</t>
  </si>
  <si>
    <t>李总</t>
  </si>
  <si>
    <t>办公费相关支出，南京区域区域</t>
  </si>
  <si>
    <t>2025-09-10</t>
  </si>
  <si>
    <t>ToC电商业务</t>
  </si>
  <si>
    <t>人事部</t>
  </si>
  <si>
    <t>ToC电商-2025年9月项目6</t>
  </si>
  <si>
    <t>支出</t>
  </si>
  <si>
    <t>主营业务成本</t>
  </si>
  <si>
    <t>物流配送成本</t>
  </si>
  <si>
    <t>上海区域</t>
  </si>
  <si>
    <t>已支付</t>
  </si>
  <si>
    <t>发票作废</t>
  </si>
  <si>
    <t>张三</t>
  </si>
  <si>
    <t>陈总</t>
  </si>
  <si>
    <t>物流配送成本相关支出，上海区域区域</t>
  </si>
  <si>
    <t>2025-10-18</t>
  </si>
  <si>
    <t>智能硬件销售业务</t>
  </si>
  <si>
    <t>销售部</t>
  </si>
  <si>
    <t>智能硬件销售-2025年10月项目8</t>
  </si>
  <si>
    <t>支出</t>
  </si>
  <si>
    <t>销售费用</t>
  </si>
  <si>
    <t>销售人员薪酬</t>
  </si>
  <si>
    <t>武汉区域</t>
  </si>
  <si>
    <t>已支付</t>
  </si>
  <si>
    <t>部分开票</t>
  </si>
  <si>
    <t>张三</t>
  </si>
  <si>
    <t>李总</t>
  </si>
  <si>
    <t>销售人员薪酬相关支出，武汉区域区域</t>
  </si>
  <si>
    <t>2025-10-09</t>
  </si>
  <si>
    <t>定制化服务业务</t>
  </si>
  <si>
    <t>财务部</t>
  </si>
  <si>
    <t>定制化服务-2025年10月项目6</t>
  </si>
  <si>
    <t>支出</t>
  </si>
  <si>
    <t>销售费用</t>
  </si>
  <si>
    <t>渠道佣金</t>
  </si>
  <si>
    <t>北京区域</t>
  </si>
  <si>
    <t>已支付</t>
  </si>
  <si>
    <t>已开票</t>
  </si>
  <si>
    <t>张三</t>
  </si>
  <si>
    <t>王总</t>
  </si>
  <si>
    <t>渠道佣金相关支出，北京区域区域</t>
  </si>
  <si>
    <t>2025-10-02</t>
  </si>
  <si>
    <t>定制化服务业务</t>
  </si>
  <si>
    <t>财务部</t>
  </si>
  <si>
    <t>定制化服务-2025年10月项目8</t>
  </si>
  <si>
    <t>收入</t>
  </si>
  <si>
    <t>主营业务收入</t>
  </si>
  <si>
    <t>电商销售收入</t>
  </si>
  <si>
    <t>成都区域</t>
  </si>
  <si>
    <t>部分回款</t>
  </si>
  <si>
    <t>发票作废</t>
  </si>
  <si>
    <t>周八</t>
  </si>
  <si>
    <t>陈总</t>
  </si>
  <si>
    <t>电商销售收入相关收入，成都区域区域</t>
  </si>
  <si>
    <t>2025-10-25</t>
  </si>
  <si>
    <t>ToB SaaS业务</t>
  </si>
  <si>
    <t>行政部</t>
  </si>
  <si>
    <t>ToB SaaS-2025年10月项目9</t>
  </si>
  <si>
    <t>支出</t>
  </si>
  <si>
    <t>财务费用</t>
  </si>
  <si>
    <t>利息支出</t>
  </si>
  <si>
    <t>北京区域</t>
  </si>
  <si>
    <t>已支付</t>
  </si>
  <si>
    <t>部分开票</t>
  </si>
  <si>
    <t>张三</t>
  </si>
  <si>
    <t>张总</t>
  </si>
  <si>
    <t>利息支出相关支出，北京区域区域</t>
  </si>
  <si>
    <t>2025-10-07</t>
  </si>
  <si>
    <t>ToC电商业务</t>
  </si>
  <si>
    <t>人事部</t>
  </si>
  <si>
    <t>ToC电商-2025年10月项目8</t>
  </si>
  <si>
    <t>支出</t>
  </si>
  <si>
    <t>管理费用</t>
  </si>
  <si>
    <t>水电费</t>
  </si>
  <si>
    <t>南京区域</t>
  </si>
  <si>
    <t>已支付</t>
  </si>
  <si>
    <t>发票作废</t>
  </si>
  <si>
    <t>李四</t>
  </si>
  <si>
    <t>王总</t>
  </si>
  <si>
    <t>水电费相关支出，南京区域区域</t>
  </si>
  <si>
    <t>2025-10-04</t>
  </si>
  <si>
    <t>智能硬件销售业务</t>
  </si>
  <si>
    <t>研发部</t>
  </si>
  <si>
    <t>智能硬件销售-2025年10月项目8</t>
  </si>
  <si>
    <t>支出</t>
  </si>
  <si>
    <t>营业外支出</t>
  </si>
  <si>
    <t>资产盘亏支出</t>
  </si>
  <si>
    <t>成都区域</t>
  </si>
  <si>
    <t>已支付</t>
  </si>
  <si>
    <t>未开票</t>
  </si>
  <si>
    <t>周八</t>
  </si>
  <si>
    <t>刘总</t>
  </si>
  <si>
    <t>资产盘亏支出相关支出，成都区域区域</t>
  </si>
  <si>
    <t>2025-10-22</t>
  </si>
  <si>
    <t>ToC电商业务</t>
  </si>
  <si>
    <t>行政部</t>
  </si>
  <si>
    <t>ToC电商-2025年10月项目6</t>
  </si>
  <si>
    <t>支出</t>
  </si>
  <si>
    <t>主营业务成本</t>
  </si>
  <si>
    <t>技术服务成本</t>
  </si>
  <si>
    <t>深圳区域</t>
  </si>
  <si>
    <t>已支付</t>
  </si>
  <si>
    <t>已开票</t>
  </si>
  <si>
    <t>张三</t>
  </si>
  <si>
    <t>刘总</t>
  </si>
  <si>
    <t>技术服务成本相关支出，深圳区域区域</t>
  </si>
  <si>
    <t>2025-10-07</t>
  </si>
  <si>
    <t>定制化服务业务</t>
  </si>
  <si>
    <t>运营部</t>
  </si>
  <si>
    <t>定制化服务-2025年10月项目7</t>
  </si>
  <si>
    <t>支出</t>
  </si>
  <si>
    <t>营业外支出</t>
  </si>
  <si>
    <t>捐赠支出</t>
  </si>
  <si>
    <t>上海区域</t>
  </si>
  <si>
    <t>已支付</t>
  </si>
  <si>
    <t>未开票</t>
  </si>
  <si>
    <t>吴九</t>
  </si>
  <si>
    <t>刘总</t>
  </si>
  <si>
    <t>捐赠支出相关支出，上海区域区域</t>
  </si>
  <si>
    <t>2025-10-25</t>
  </si>
  <si>
    <t>ToC电商业务</t>
  </si>
  <si>
    <t>行政部</t>
  </si>
  <si>
    <t>ToC电商-2025年10月项目10</t>
  </si>
  <si>
    <t>支出</t>
  </si>
  <si>
    <t>主营业务成本</t>
  </si>
  <si>
    <t>硬件生产成本</t>
  </si>
  <si>
    <t>深圳区域</t>
  </si>
  <si>
    <t>已支付</t>
  </si>
  <si>
    <t>发票作废</t>
  </si>
  <si>
    <t>赵六</t>
  </si>
  <si>
    <t>王总</t>
  </si>
  <si>
    <t>硬件生产成本相关支出，深圳区域区域</t>
  </si>
  <si>
    <t>2025-10-10</t>
  </si>
  <si>
    <t>ToC电商业务</t>
  </si>
  <si>
    <t>研发部</t>
  </si>
  <si>
    <t>ToC电商-2025年10月项目3</t>
  </si>
  <si>
    <t>支出</t>
  </si>
  <si>
    <t>财务费用</t>
  </si>
  <si>
    <t>汇兑损益</t>
  </si>
  <si>
    <t>武汉区域</t>
  </si>
  <si>
    <t>已支付</t>
  </si>
  <si>
    <t>未开票</t>
  </si>
  <si>
    <t>周八</t>
  </si>
  <si>
    <t>李总</t>
  </si>
  <si>
    <t>汇兑损益相关支出，武汉区域区域</t>
  </si>
  <si>
    <t>2025-10-22</t>
  </si>
  <si>
    <t>定制化服务业务</t>
  </si>
  <si>
    <t>研发部</t>
  </si>
  <si>
    <t>定制化服务-2025年10月项目6</t>
  </si>
  <si>
    <t>支出</t>
  </si>
  <si>
    <t>营业外支出</t>
  </si>
  <si>
    <t>资产盘亏支出</t>
  </si>
  <si>
    <t>南京区域</t>
  </si>
  <si>
    <t>已支付</t>
  </si>
  <si>
    <t>发票作废</t>
  </si>
  <si>
    <t>王五</t>
  </si>
  <si>
    <t>王总</t>
  </si>
  <si>
    <t>资产盘亏支出相关支出，南京区域区域</t>
  </si>
  <si>
    <t>2025-10-14</t>
  </si>
  <si>
    <t>ToB SaaS业务</t>
  </si>
  <si>
    <t>销售部</t>
  </si>
  <si>
    <t>ToB SaaS-2025年10月项目7</t>
  </si>
  <si>
    <t>收入</t>
  </si>
  <si>
    <t>其他业务收入</t>
  </si>
  <si>
    <t>广告佣金收入</t>
  </si>
  <si>
    <t>上海区域</t>
  </si>
  <si>
    <t>坏账</t>
  </si>
  <si>
    <t>发票作废</t>
  </si>
  <si>
    <t>赵六</t>
  </si>
  <si>
    <t>张总</t>
  </si>
  <si>
    <t>广告佣金收入相关收入，上海区域区域</t>
  </si>
  <si>
    <t>2025-10-07</t>
  </si>
  <si>
    <t>ToC电商业务</t>
  </si>
  <si>
    <t>销售部</t>
  </si>
  <si>
    <t>ToC电商-2025年10月项目5</t>
  </si>
  <si>
    <t>支出</t>
  </si>
  <si>
    <t>管理费用</t>
  </si>
  <si>
    <t>折旧摊销费</t>
  </si>
  <si>
    <t>北京区域</t>
  </si>
  <si>
    <t>已支付</t>
  </si>
  <si>
    <t>未开票</t>
  </si>
  <si>
    <t>赵六</t>
  </si>
  <si>
    <t>刘总</t>
  </si>
  <si>
    <t>折旧摊销费相关支出，北京区域区域</t>
  </si>
  <si>
    <t>2025-10-21</t>
  </si>
  <si>
    <t>ToB SaaS业务</t>
  </si>
  <si>
    <t>行政部</t>
  </si>
  <si>
    <t>ToB SaaS-2025年10月项目4</t>
  </si>
  <si>
    <t>支出</t>
  </si>
  <si>
    <t>管理费用</t>
  </si>
  <si>
    <t>水电费</t>
  </si>
  <si>
    <t>南京区域</t>
  </si>
  <si>
    <t>已支付</t>
  </si>
  <si>
    <t>部分开票</t>
  </si>
  <si>
    <t>赵六</t>
  </si>
  <si>
    <t>李总</t>
  </si>
  <si>
    <t>水电费相关支出，南京区域区域</t>
  </si>
  <si>
    <t>2025-10-11</t>
  </si>
  <si>
    <t>ToB SaaS业务</t>
  </si>
  <si>
    <t>研发部</t>
  </si>
  <si>
    <t>ToB SaaS-2025年10月项目9</t>
  </si>
  <si>
    <t>收入</t>
  </si>
  <si>
    <t>营业外收入</t>
  </si>
  <si>
    <t>政府补贴</t>
  </si>
  <si>
    <t>深圳区域</t>
  </si>
  <si>
    <t>已回款</t>
  </si>
  <si>
    <t>发票作废</t>
  </si>
  <si>
    <t>王五</t>
  </si>
  <si>
    <t>李总</t>
  </si>
  <si>
    <t>政府补贴相关收入，深圳区域区域</t>
  </si>
  <si>
    <t>2025-11-23</t>
  </si>
  <si>
    <t>ToB SaaS业务</t>
  </si>
  <si>
    <t>行政部</t>
  </si>
  <si>
    <t>ToB SaaS-2025年11月项目10</t>
  </si>
  <si>
    <t>收入</t>
  </si>
  <si>
    <t>营业外收入</t>
  </si>
  <si>
    <t>政府补贴</t>
  </si>
  <si>
    <t>武汉区域</t>
  </si>
  <si>
    <t>坏账</t>
  </si>
  <si>
    <t>部分开票</t>
  </si>
  <si>
    <t>李四</t>
  </si>
  <si>
    <t>陈总</t>
  </si>
  <si>
    <t>政府补贴相关收入，武汉区域区域</t>
  </si>
  <si>
    <t>2025-11-06</t>
  </si>
  <si>
    <t>定制化服务业务</t>
  </si>
  <si>
    <t>市场部</t>
  </si>
  <si>
    <t>定制化服务-2025年11月项目5</t>
  </si>
  <si>
    <t>收入</t>
  </si>
  <si>
    <t>主营业务收入</t>
  </si>
  <si>
    <t>电商销售收入</t>
  </si>
  <si>
    <t>广州区域</t>
  </si>
  <si>
    <t>未回款</t>
  </si>
  <si>
    <t>未开票</t>
  </si>
  <si>
    <t>张三</t>
  </si>
  <si>
    <t>李总</t>
  </si>
  <si>
    <t>电商销售收入相关收入，广州区域区域</t>
  </si>
  <si>
    <t>2025-11-20</t>
  </si>
  <si>
    <t>ToB SaaS业务</t>
  </si>
  <si>
    <t>销售部</t>
  </si>
  <si>
    <t>ToB SaaS-2025年11月项目8</t>
  </si>
  <si>
    <t>支出</t>
  </si>
  <si>
    <t>销售费用</t>
  </si>
  <si>
    <t>销售人员薪酬</t>
  </si>
  <si>
    <t>武汉区域</t>
  </si>
  <si>
    <t>已支付</t>
  </si>
  <si>
    <t>发票作废</t>
  </si>
  <si>
    <t>赵六</t>
  </si>
  <si>
    <t>张总</t>
  </si>
  <si>
    <t>销售人员薪酬相关支出，武汉区域区域</t>
  </si>
  <si>
    <t>2025-11-02</t>
  </si>
  <si>
    <t>智能硬件销售业务</t>
  </si>
  <si>
    <t>市场部</t>
  </si>
  <si>
    <t>智能硬件销售-2025年11月项目3</t>
  </si>
  <si>
    <t>收入</t>
  </si>
  <si>
    <t>主营业务收入</t>
  </si>
  <si>
    <t>电商销售收入</t>
  </si>
  <si>
    <t>杭州区域</t>
  </si>
  <si>
    <t>部分回款</t>
  </si>
  <si>
    <t>发票作废</t>
  </si>
  <si>
    <t>赵六</t>
  </si>
  <si>
    <t>李总</t>
  </si>
  <si>
    <t>电商销售收入相关收入，杭州区域区域</t>
  </si>
  <si>
    <t>2025-11-25</t>
  </si>
  <si>
    <t>智能硬件销售业务</t>
  </si>
  <si>
    <t>销售部</t>
  </si>
  <si>
    <t>智能硬件销售-2025年11月项目9</t>
  </si>
  <si>
    <t>支出</t>
  </si>
  <si>
    <t>研发费用</t>
  </si>
  <si>
    <t>技术研发费</t>
  </si>
  <si>
    <t>武汉区域</t>
  </si>
  <si>
    <t>已支付</t>
  </si>
  <si>
    <t>部分开票</t>
  </si>
  <si>
    <t>李四</t>
  </si>
  <si>
    <t>张总</t>
  </si>
  <si>
    <t>技术研发费相关支出，武汉区域区域</t>
  </si>
  <si>
    <t>2025-11-06</t>
  </si>
  <si>
    <t>ToC电商业务</t>
  </si>
  <si>
    <t>人事部</t>
  </si>
  <si>
    <t>ToC电商-2025年11月项目10</t>
  </si>
  <si>
    <t>收入</t>
  </si>
  <si>
    <t>其他业务收入</t>
  </si>
  <si>
    <t>场地租赁收入</t>
  </si>
  <si>
    <t>北京区域</t>
  </si>
  <si>
    <t>部分回款</t>
  </si>
  <si>
    <t>未开票</t>
  </si>
  <si>
    <t>王五</t>
  </si>
  <si>
    <t>王总</t>
  </si>
  <si>
    <t>场地租赁收入相关收入，北京区域区域</t>
  </si>
  <si>
    <t>2025-11-11</t>
  </si>
  <si>
    <t>ToC电商业务</t>
  </si>
  <si>
    <t>运营部</t>
  </si>
  <si>
    <t>ToC电商-2025年11月项目9</t>
  </si>
  <si>
    <t>支出</t>
  </si>
  <si>
    <t>研发费用</t>
  </si>
  <si>
    <t>测试验收费</t>
  </si>
  <si>
    <t>南京区域</t>
  </si>
  <si>
    <t>已支付</t>
  </si>
  <si>
    <t>发票作废</t>
  </si>
  <si>
    <t>张三</t>
  </si>
  <si>
    <t>刘总</t>
  </si>
  <si>
    <t>测试验收费相关支出，南京区域区域</t>
  </si>
  <si>
    <t>2025-11-23</t>
  </si>
  <si>
    <t>定制化服务业务</t>
  </si>
  <si>
    <t>市场部</t>
  </si>
  <si>
    <t>定制化服务-2025年11月项目8</t>
  </si>
  <si>
    <t>收入</t>
  </si>
  <si>
    <t>营业外收入</t>
  </si>
  <si>
    <t>政府补贴</t>
  </si>
  <si>
    <t>广州区域</t>
  </si>
  <si>
    <t>未回款</t>
  </si>
  <si>
    <t>已开票</t>
  </si>
  <si>
    <t>张三</t>
  </si>
  <si>
    <t>刘总</t>
  </si>
  <si>
    <t>政府补贴相关收入，广州区域区域</t>
  </si>
  <si>
    <t>2025-11-25</t>
  </si>
  <si>
    <t>智能硬件销售业务</t>
  </si>
  <si>
    <t>研发部</t>
  </si>
  <si>
    <t>智能硬件销售-2025年11月项目1</t>
  </si>
  <si>
    <t>收入</t>
  </si>
  <si>
    <t>营业外收入</t>
  </si>
  <si>
    <t>资产盘盈收入</t>
  </si>
  <si>
    <t>武汉区域</t>
  </si>
  <si>
    <t>部分回款</t>
  </si>
  <si>
    <t>未开票</t>
  </si>
  <si>
    <t>吴九</t>
  </si>
  <si>
    <t>刘总</t>
  </si>
  <si>
    <t>资产盘盈收入相关收入，武汉区域区域</t>
  </si>
  <si>
    <t>2025-11-10</t>
  </si>
  <si>
    <t>定制化服务业务</t>
  </si>
  <si>
    <t>研发部</t>
  </si>
  <si>
    <t>定制化服务-2025年11月项目1</t>
  </si>
  <si>
    <t>收入</t>
  </si>
  <si>
    <t>其他业务收入</t>
  </si>
  <si>
    <t>广告佣金收入</t>
  </si>
  <si>
    <t>上海区域</t>
  </si>
  <si>
    <t>已回款</t>
  </si>
  <si>
    <t>部分开票</t>
  </si>
  <si>
    <t>王五</t>
  </si>
  <si>
    <t>张总</t>
  </si>
  <si>
    <t>广告佣金收入相关收入，上海区域区域</t>
  </si>
  <si>
    <t>2025-11-01</t>
  </si>
  <si>
    <t>ToC电商业务</t>
  </si>
  <si>
    <t>市场部</t>
  </si>
  <si>
    <t>ToC电商-2025年11月项目2</t>
  </si>
  <si>
    <t>收入</t>
  </si>
  <si>
    <t>主营业务收入</t>
  </si>
  <si>
    <t>电商销售收入</t>
  </si>
  <si>
    <t>成都区域</t>
  </si>
  <si>
    <t>未回款</t>
  </si>
  <si>
    <t>未开票</t>
  </si>
  <si>
    <t>孙七</t>
  </si>
  <si>
    <t>张总</t>
  </si>
  <si>
    <t>电商销售收入相关收入，成都区域区域</t>
  </si>
  <si>
    <t>2025-11-23</t>
  </si>
  <si>
    <t>ToC电商业务</t>
  </si>
  <si>
    <t>销售部</t>
  </si>
  <si>
    <t>ToC电商-2025年11月项目9</t>
  </si>
  <si>
    <t>支出</t>
  </si>
  <si>
    <t>销售费用</t>
  </si>
  <si>
    <t>市场推广费</t>
  </si>
  <si>
    <t>成都区域</t>
  </si>
  <si>
    <t>已支付</t>
  </si>
  <si>
    <t>发票作废</t>
  </si>
  <si>
    <t>张三</t>
  </si>
  <si>
    <t>陈总</t>
  </si>
  <si>
    <t>市场推广费相关支出，成都区域区域</t>
  </si>
  <si>
    <t>2025-11-24</t>
  </si>
  <si>
    <t>ToC电商业务</t>
  </si>
  <si>
    <t>运营部</t>
  </si>
  <si>
    <t>ToC电商-2025年11月项目10</t>
  </si>
  <si>
    <t>支出</t>
  </si>
  <si>
    <t>主营业务成本</t>
  </si>
  <si>
    <t>商品采购成本</t>
  </si>
  <si>
    <t>武汉区域</t>
  </si>
  <si>
    <t>已支付</t>
  </si>
  <si>
    <t>已开票</t>
  </si>
  <si>
    <t>孙七</t>
  </si>
  <si>
    <t>王总</t>
  </si>
  <si>
    <t>商品采购成本相关支出，武汉区域区域</t>
  </si>
  <si>
    <t>2025-11-02</t>
  </si>
  <si>
    <t>定制化服务业务</t>
  </si>
  <si>
    <t>市场部</t>
  </si>
  <si>
    <t>定制化服务-2025年11月项目4</t>
  </si>
  <si>
    <t>收入</t>
  </si>
  <si>
    <t>其他业务收入</t>
  </si>
  <si>
    <t>技术服务费收入</t>
  </si>
  <si>
    <t>深圳区域</t>
  </si>
  <si>
    <t>坏账</t>
  </si>
  <si>
    <t>已开票</t>
  </si>
  <si>
    <t>张三</t>
  </si>
  <si>
    <t>张总</t>
  </si>
  <si>
    <t>技术服务费收入相关收入，深圳区域区域</t>
  </si>
  <si>
    <t>2025-11-24</t>
  </si>
  <si>
    <t>ToB SaaS业务</t>
  </si>
  <si>
    <t>销售部</t>
  </si>
  <si>
    <t>ToB SaaS-2025年11月项目4</t>
  </si>
  <si>
    <t>支出</t>
  </si>
  <si>
    <t>财务费用</t>
  </si>
  <si>
    <t>利息支出</t>
  </si>
  <si>
    <t>武汉区域</t>
  </si>
  <si>
    <t>已支付</t>
  </si>
  <si>
    <t>已开票</t>
  </si>
  <si>
    <t>赵六</t>
  </si>
  <si>
    <t>王总</t>
  </si>
  <si>
    <t>利息支出相关支出，武汉区域区域</t>
  </si>
  <si>
    <t>2025-12-15</t>
  </si>
  <si>
    <t>ToB SaaS业务</t>
  </si>
  <si>
    <t>运营部</t>
  </si>
  <si>
    <t>ToB SaaS-2025年12月项目4</t>
  </si>
  <si>
    <t>支出</t>
  </si>
  <si>
    <t>管理费用</t>
  </si>
  <si>
    <t>折旧摊销费</t>
  </si>
  <si>
    <t>武汉区域</t>
  </si>
  <si>
    <t>已支付</t>
  </si>
  <si>
    <t>已开票</t>
  </si>
  <si>
    <t>王五</t>
  </si>
  <si>
    <t>陈总</t>
  </si>
  <si>
    <t>折旧摊销费相关支出，武汉区域区域</t>
  </si>
  <si>
    <t>2025-12-15</t>
  </si>
  <si>
    <t>智能硬件销售业务</t>
  </si>
  <si>
    <t>行政部</t>
  </si>
  <si>
    <t>智能硬件销售-2025年12月项目6</t>
  </si>
  <si>
    <t>支出</t>
  </si>
  <si>
    <t>营业外支出</t>
  </si>
  <si>
    <t>违约金支出</t>
  </si>
  <si>
    <t>上海区域</t>
  </si>
  <si>
    <t>已支付</t>
  </si>
  <si>
    <t>发票作废</t>
  </si>
  <si>
    <t>李四</t>
  </si>
  <si>
    <t>李总</t>
  </si>
  <si>
    <t>违约金支出相关支出，上海区域区域</t>
  </si>
  <si>
    <t>2025-12-26</t>
  </si>
  <si>
    <t>智能硬件销售业务</t>
  </si>
  <si>
    <t>财务部</t>
  </si>
  <si>
    <t>智能硬件销售-2025年12月项目2</t>
  </si>
  <si>
    <t>收入</t>
  </si>
  <si>
    <t>其他业务收入</t>
  </si>
  <si>
    <t>广告佣金收入</t>
  </si>
  <si>
    <t>北京区域</t>
  </si>
  <si>
    <t>部分回款</t>
  </si>
  <si>
    <t>已开票</t>
  </si>
  <si>
    <t>郑十</t>
  </si>
  <si>
    <t>陈总</t>
  </si>
  <si>
    <t>广告佣金收入相关收入，北京区域区域</t>
  </si>
  <si>
    <t>2025-12-27</t>
  </si>
  <si>
    <t>定制化服务业务</t>
  </si>
  <si>
    <t>人事部</t>
  </si>
  <si>
    <t>定制化服务-2025年12月项目8</t>
  </si>
  <si>
    <t>支出</t>
  </si>
  <si>
    <t>营业外支出</t>
  </si>
  <si>
    <t>捐赠支出</t>
  </si>
  <si>
    <t>上海区域</t>
  </si>
  <si>
    <t>已支付</t>
  </si>
  <si>
    <t>已开票</t>
  </si>
  <si>
    <t>王五</t>
  </si>
  <si>
    <t>李总</t>
  </si>
  <si>
    <t>捐赠支出相关支出，上海区域区域</t>
  </si>
  <si>
    <t>2025-12-25</t>
  </si>
  <si>
    <t>ToB SaaS业务</t>
  </si>
  <si>
    <t>销售部</t>
  </si>
  <si>
    <t>ToB SaaS-2025年12月项目2</t>
  </si>
  <si>
    <t>收入</t>
  </si>
  <si>
    <t>其他业务收入</t>
  </si>
  <si>
    <t>技术服务费收入</t>
  </si>
  <si>
    <t>成都区域</t>
  </si>
  <si>
    <t>部分回款</t>
  </si>
  <si>
    <t>发票作废</t>
  </si>
  <si>
    <t>李四</t>
  </si>
  <si>
    <t>张总</t>
  </si>
  <si>
    <t>技术服务费收入相关收入，成都区域区域</t>
  </si>
  <si>
    <t>2025-12-12</t>
  </si>
  <si>
    <t>ToB SaaS业务</t>
  </si>
  <si>
    <t>人事部</t>
  </si>
  <si>
    <t>ToB SaaS-2025年12月项目1</t>
  </si>
  <si>
    <t>支出</t>
  </si>
  <si>
    <t>主营业务成本</t>
  </si>
  <si>
    <t>商品采购成本</t>
  </si>
  <si>
    <t>成都区域</t>
  </si>
  <si>
    <t>已支付</t>
  </si>
  <si>
    <t>部分开票</t>
  </si>
  <si>
    <t>赵六</t>
  </si>
  <si>
    <t>张总</t>
  </si>
  <si>
    <t>商品采购成本相关支出，成都区域区域</t>
  </si>
  <si>
    <t>2025-12-11</t>
  </si>
  <si>
    <t>ToC电商业务</t>
  </si>
  <si>
    <t>人事部</t>
  </si>
  <si>
    <t>ToC电商-2025年12月项目5</t>
  </si>
  <si>
    <t>收入</t>
  </si>
  <si>
    <t>营业外收入</t>
  </si>
  <si>
    <t>资产盘盈收入</t>
  </si>
  <si>
    <t>深圳区域</t>
  </si>
  <si>
    <t>部分回款</t>
  </si>
  <si>
    <t>已开票</t>
  </si>
  <si>
    <t>李四</t>
  </si>
  <si>
    <t>王总</t>
  </si>
  <si>
    <t>资产盘盈收入相关收入，深圳区域区域</t>
  </si>
  <si>
    <t>2025-12-27</t>
  </si>
  <si>
    <t>ToB SaaS业务</t>
  </si>
  <si>
    <t>行政部</t>
  </si>
  <si>
    <t>ToB SaaS-2025年12月项目6</t>
  </si>
  <si>
    <t>支出</t>
  </si>
  <si>
    <t>营业外支出</t>
  </si>
  <si>
    <t>违约金支出</t>
  </si>
  <si>
    <t>南京区域</t>
  </si>
  <si>
    <t>已支付</t>
  </si>
  <si>
    <t>发票作废</t>
  </si>
  <si>
    <t>孙七</t>
  </si>
  <si>
    <t>陈总</t>
  </si>
  <si>
    <t>违约金支出相关支出，南京区域区域</t>
  </si>
  <si>
    <t>2025-12-09</t>
  </si>
  <si>
    <t>ToC电商业务</t>
  </si>
  <si>
    <t>研发部</t>
  </si>
  <si>
    <t>ToC电商-2025年12月项目5</t>
  </si>
  <si>
    <t>收入</t>
  </si>
  <si>
    <t>其他业务收入</t>
  </si>
  <si>
    <t>广告佣金收入</t>
  </si>
  <si>
    <t>武汉区域</t>
  </si>
  <si>
    <t>坏账</t>
  </si>
  <si>
    <t>发票作废</t>
  </si>
  <si>
    <t>郑十</t>
  </si>
  <si>
    <t>张总</t>
  </si>
  <si>
    <t>广告佣金收入相关收入，武汉区域区域</t>
  </si>
  <si>
    <t>2025-12-09</t>
  </si>
  <si>
    <t>定制化服务业务</t>
  </si>
  <si>
    <t>运营部</t>
  </si>
  <si>
    <t>定制化服务-2025年12月项目10</t>
  </si>
  <si>
    <t>收入</t>
  </si>
  <si>
    <t>营业外收入</t>
  </si>
  <si>
    <t>违约金收入</t>
  </si>
  <si>
    <t>武汉区域</t>
  </si>
  <si>
    <t>未回款</t>
  </si>
  <si>
    <t>部分开票</t>
  </si>
  <si>
    <t>吴九</t>
  </si>
  <si>
    <t>张总</t>
  </si>
  <si>
    <t>违约金收入相关收入，武汉区域区域</t>
  </si>
  <si>
    <t>2025-12-05</t>
  </si>
  <si>
    <t>ToC电商业务</t>
  </si>
  <si>
    <t>行政部</t>
  </si>
  <si>
    <t>ToC电商-2025年12月项目7</t>
  </si>
  <si>
    <t>收入</t>
  </si>
  <si>
    <t>主营业务收入</t>
  </si>
  <si>
    <t>电商销售收入</t>
  </si>
  <si>
    <t>广州区域</t>
  </si>
  <si>
    <t>已回款</t>
  </si>
  <si>
    <t>未开票</t>
  </si>
  <si>
    <t>吴九</t>
  </si>
  <si>
    <t>李总</t>
  </si>
  <si>
    <t>电商销售收入相关收入，广州区域区域</t>
  </si>
  <si>
    <t>2025-12-12</t>
  </si>
  <si>
    <t>智能硬件销售业务</t>
  </si>
  <si>
    <t>市场部</t>
  </si>
  <si>
    <t>智能硬件销售-2025年12月项目6</t>
  </si>
  <si>
    <t>收入</t>
  </si>
  <si>
    <t>营业外收入</t>
  </si>
  <si>
    <t>政府补贴</t>
  </si>
  <si>
    <t>杭州区域</t>
  </si>
  <si>
    <t>部分回款</t>
  </si>
  <si>
    <t>未开票</t>
  </si>
  <si>
    <t>孙七</t>
  </si>
  <si>
    <t>李总</t>
  </si>
  <si>
    <t>政府补贴相关收入，杭州区域区域</t>
  </si>
  <si>
    <t>2025-12-12</t>
  </si>
  <si>
    <t>ToB SaaS业务</t>
  </si>
  <si>
    <t>市场部</t>
  </si>
  <si>
    <t>ToB SaaS-2025年12月项目8</t>
  </si>
  <si>
    <t>收入</t>
  </si>
  <si>
    <t>主营业务收入</t>
  </si>
  <si>
    <t>硬件销售收入</t>
  </si>
  <si>
    <t>南京区域</t>
  </si>
  <si>
    <t>已回款</t>
  </si>
  <si>
    <t>部分开票</t>
  </si>
  <si>
    <t>吴九</t>
  </si>
  <si>
    <t>张总</t>
  </si>
  <si>
    <t>硬件销售收入相关收入，南京区域区域</t>
  </si>
  <si>
    <t>2025-12-15</t>
  </si>
  <si>
    <t>定制化服务业务</t>
  </si>
  <si>
    <t>销售部</t>
  </si>
  <si>
    <t>定制化服务-2025年12月项目1</t>
  </si>
  <si>
    <t>收入</t>
  </si>
  <si>
    <t>营业外收入</t>
  </si>
  <si>
    <t>政府补贴</t>
  </si>
  <si>
    <t>上海区域</t>
  </si>
  <si>
    <t>已回款</t>
  </si>
  <si>
    <t>发票作废</t>
  </si>
  <si>
    <t>王五</t>
  </si>
  <si>
    <t>李总</t>
  </si>
  <si>
    <t>政府补贴相关收入，上海区域区域</t>
  </si>
  <si>
    <t>2025-12-16</t>
  </si>
  <si>
    <t>ToC电商业务</t>
  </si>
  <si>
    <t>市场部</t>
  </si>
  <si>
    <t>ToC电商-2025年12月项目9</t>
  </si>
  <si>
    <t>支出</t>
  </si>
  <si>
    <t>研发费用</t>
  </si>
  <si>
    <t>研发人员薪酬</t>
  </si>
  <si>
    <t>杭州区域</t>
  </si>
  <si>
    <t>已支付</t>
  </si>
  <si>
    <t>已开票</t>
  </si>
  <si>
    <t>吴九</t>
  </si>
  <si>
    <t>李总</t>
  </si>
  <si>
    <t>研发人员薪酬相关支出，杭州区域区域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</si>
</sst>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"/>
    <numFmt numFmtId="165" formatCode="0.00%"/>
  </numFmts>
  <fonts count="3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left" vertical="center"/>
    </xf>
    <xf applyAlignment="true" applyBorder="false" applyFill="false" applyFont="true" applyNumberFormat="true" applyProtection="false" borderId="0" fillId="0" fontId="2" numFmtId="165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5" min="5" style="0" width="7"/>
    <col collapsed="false" customWidth="true" hidden="false" max="9" min="9" style="0" width="11"/>
    <col collapsed="false" customWidth="true" hidden="false" max="13" min="13" style="0" width="13"/>
    <col collapsed="false" customWidth="true" hidden="false" max="17" min="17" style="0" width="5"/>
    <col collapsed="false" customWidth="true" hidden="false" max="2" min="2" style="0" width="7"/>
    <col collapsed="false" customWidth="true" hidden="false" max="6" min="6" style="0" width="23"/>
    <col collapsed="false" customWidth="true" hidden="false" max="10" min="10" style="0" width="7"/>
    <col collapsed="false" customWidth="true" hidden="false" max="14" min="14" style="0" width="25"/>
    <col collapsed="false" customWidth="true" hidden="false" max="18" min="18" style="0" width="5"/>
    <col collapsed="false" customWidth="true" hidden="false" max="3" min="3" style="0" width="13"/>
    <col collapsed="false" customWidth="true" hidden="false" max="7" min="7" style="0" width="7"/>
    <col collapsed="false" customWidth="true" hidden="false" max="11" min="11" style="0" width="11"/>
    <col collapsed="false" customWidth="true" hidden="false" max="15" min="15" style="0" width="7"/>
    <col collapsed="false" customWidth="true" hidden="false" max="19" min="19" style="0" width="21"/>
    <col collapsed="false" customWidth="true" hidden="false" max="4" min="4" style="0" width="13"/>
    <col collapsed="false" customWidth="true" hidden="false" max="8" min="8" style="0" width="9"/>
    <col collapsed="false" customWidth="true" hidden="false" max="12" min="12" style="0" width="11"/>
    <col collapsed="false" customWidth="true" hidden="false" max="16" min="16" style="0" width="7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customHeight="true" ht="15" r="2">
      <c r="A2" s="2">
        <v>2023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>
        <v>88022.23</v>
      </c>
      <c r="L2" s="3">
        <v>87125.84</v>
      </c>
      <c r="M2" s="3">
        <f>L2-K2</f>
      </c>
      <c r="N2" s="4">
        <f>IF(K2=0,0,M2/K2)</f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  <row customHeight="true" ht="15" r="3">
      <c r="A3" s="2">
        <v>2023</v>
      </c>
      <c r="B3" s="2">
        <v>1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3">
        <v>383441.45</v>
      </c>
      <c r="L3" s="3">
        <v>313462.67</v>
      </c>
      <c r="M3" s="3">
        <f>L3-K3</f>
      </c>
      <c r="N3" s="4">
        <f>IF(K3=0,0,M3/K3)</f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</row>
    <row customHeight="true" ht="15" r="4">
      <c r="A4" s="2">
        <v>2023</v>
      </c>
      <c r="B4" s="2">
        <v>1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3">
        <v>312181.28</v>
      </c>
      <c r="L4" s="3">
        <v>265287.5</v>
      </c>
      <c r="M4" s="3">
        <f>L4-K4</f>
      </c>
      <c r="N4" s="4">
        <f>IF(K4=0,0,M4/K4)</f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</row>
    <row customHeight="true" ht="15" r="5">
      <c r="A5" s="2">
        <v>2023</v>
      </c>
      <c r="B5" s="2">
        <v>1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3">
        <v>390598.89</v>
      </c>
      <c r="L5" s="3">
        <v>451036.77</v>
      </c>
      <c r="M5" s="3">
        <f>L5-K5</f>
      </c>
      <c r="N5" s="4">
        <f>IF(K5=0,0,M5/K5)</f>
      </c>
      <c r="O5" s="2" t="s">
        <v>67</v>
      </c>
      <c r="P5" s="2" t="s">
        <v>68</v>
      </c>
      <c r="Q5" s="2" t="s">
        <v>69</v>
      </c>
      <c r="R5" s="2" t="s">
        <v>70</v>
      </c>
      <c r="S5" s="2" t="s">
        <v>71</v>
      </c>
    </row>
    <row customHeight="true" ht="15" r="6">
      <c r="A6" s="2">
        <v>2023</v>
      </c>
      <c r="B6" s="2">
        <v>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3">
        <v>494669.77</v>
      </c>
      <c r="L6" s="3">
        <v>449698.68</v>
      </c>
      <c r="M6" s="3">
        <f>L6-K6</f>
      </c>
      <c r="N6" s="4">
        <f>IF(K6=0,0,M6/K6)</f>
      </c>
      <c r="O6" s="2" t="s">
        <v>80</v>
      </c>
      <c r="P6" s="2" t="s">
        <v>81</v>
      </c>
      <c r="Q6" s="2" t="s">
        <v>82</v>
      </c>
      <c r="R6" s="2" t="s">
        <v>83</v>
      </c>
      <c r="S6" s="2" t="s">
        <v>84</v>
      </c>
    </row>
    <row customHeight="true" ht="15" r="7">
      <c r="A7" s="2">
        <v>2023</v>
      </c>
      <c r="B7" s="2">
        <v>1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3">
        <v>419126.77</v>
      </c>
      <c r="L7" s="3">
        <v>450567.11</v>
      </c>
      <c r="M7" s="3">
        <f>L7-K7</f>
      </c>
      <c r="N7" s="4">
        <f>IF(K7=0,0,M7/K7)</f>
      </c>
      <c r="O7" s="2" t="s">
        <v>93</v>
      </c>
      <c r="P7" s="2" t="s">
        <v>94</v>
      </c>
      <c r="Q7" s="2" t="s">
        <v>95</v>
      </c>
      <c r="R7" s="2" t="s">
        <v>96</v>
      </c>
      <c r="S7" s="2" t="s">
        <v>97</v>
      </c>
    </row>
    <row customHeight="true" ht="15" r="8">
      <c r="A8" s="2">
        <v>2023</v>
      </c>
      <c r="B8" s="2">
        <v>1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3">
        <v>124258.47</v>
      </c>
      <c r="L8" s="3">
        <v>146621.92</v>
      </c>
      <c r="M8" s="3">
        <f>L8-K8</f>
      </c>
      <c r="N8" s="4">
        <f>IF(K8=0,0,M8/K8)</f>
      </c>
      <c r="O8" s="2" t="s">
        <v>106</v>
      </c>
      <c r="P8" s="2" t="s">
        <v>107</v>
      </c>
      <c r="Q8" s="2" t="s">
        <v>108</v>
      </c>
      <c r="R8" s="2" t="s">
        <v>109</v>
      </c>
      <c r="S8" s="2" t="s">
        <v>110</v>
      </c>
    </row>
    <row customHeight="true" ht="15" r="9">
      <c r="A9" s="2">
        <v>2023</v>
      </c>
      <c r="B9" s="2">
        <v>1</v>
      </c>
      <c r="C9" s="2" t="s">
        <v>111</v>
      </c>
      <c r="D9" s="2" t="s">
        <v>112</v>
      </c>
      <c r="E9" s="2" t="s">
        <v>113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3">
        <v>148443.18</v>
      </c>
      <c r="L9" s="3">
        <v>172447.71</v>
      </c>
      <c r="M9" s="3">
        <f>L9-K9</f>
      </c>
      <c r="N9" s="4">
        <f>IF(K9=0,0,M9/K9)</f>
      </c>
      <c r="O9" s="2" t="s">
        <v>119</v>
      </c>
      <c r="P9" s="2" t="s">
        <v>120</v>
      </c>
      <c r="Q9" s="2" t="s">
        <v>121</v>
      </c>
      <c r="R9" s="2" t="s">
        <v>122</v>
      </c>
      <c r="S9" s="2" t="s">
        <v>123</v>
      </c>
    </row>
    <row customHeight="true" ht="15" r="10">
      <c r="A10" s="2">
        <v>2023</v>
      </c>
      <c r="B10" s="2">
        <v>1</v>
      </c>
      <c r="C10" s="2" t="s">
        <v>124</v>
      </c>
      <c r="D10" s="2" t="s">
        <v>125</v>
      </c>
      <c r="E10" s="2" t="s">
        <v>126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131</v>
      </c>
      <c r="K10" s="3">
        <v>138450.18</v>
      </c>
      <c r="L10" s="3">
        <v>167624.81</v>
      </c>
      <c r="M10" s="3">
        <f>L10-K10</f>
      </c>
      <c r="N10" s="4">
        <f>IF(K10=0,0,M10/K10)</f>
      </c>
      <c r="O10" s="2" t="s">
        <v>132</v>
      </c>
      <c r="P10" s="2" t="s">
        <v>133</v>
      </c>
      <c r="Q10" s="2" t="s">
        <v>134</v>
      </c>
      <c r="R10" s="2" t="s">
        <v>135</v>
      </c>
      <c r="S10" s="2" t="s">
        <v>136</v>
      </c>
    </row>
    <row customHeight="true" ht="15" r="11">
      <c r="A11" s="2">
        <v>2023</v>
      </c>
      <c r="B11" s="2">
        <v>1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144</v>
      </c>
      <c r="K11" s="3">
        <v>24867.09</v>
      </c>
      <c r="L11" s="3">
        <v>23070.62</v>
      </c>
      <c r="M11" s="3">
        <f>L11-K11</f>
      </c>
      <c r="N11" s="4">
        <f>IF(K11=0,0,M11/K11)</f>
      </c>
      <c r="O11" s="2" t="s">
        <v>145</v>
      </c>
      <c r="P11" s="2" t="s">
        <v>146</v>
      </c>
      <c r="Q11" s="2" t="s">
        <v>147</v>
      </c>
      <c r="R11" s="2" t="s">
        <v>148</v>
      </c>
      <c r="S11" s="2" t="s">
        <v>149</v>
      </c>
    </row>
    <row customHeight="true" ht="15" r="12">
      <c r="A12" s="2">
        <v>2023</v>
      </c>
      <c r="B12" s="2">
        <v>1</v>
      </c>
      <c r="C12" s="2" t="s">
        <v>150</v>
      </c>
      <c r="D12" s="2" t="s">
        <v>151</v>
      </c>
      <c r="E12" s="2" t="s">
        <v>152</v>
      </c>
      <c r="F12" s="2" t="s">
        <v>153</v>
      </c>
      <c r="G12" s="2" t="s">
        <v>154</v>
      </c>
      <c r="H12" s="2" t="s">
        <v>155</v>
      </c>
      <c r="I12" s="2" t="s">
        <v>156</v>
      </c>
      <c r="J12" s="2" t="s">
        <v>157</v>
      </c>
      <c r="K12" s="3">
        <v>85236.6</v>
      </c>
      <c r="L12" s="3">
        <v>103907.12</v>
      </c>
      <c r="M12" s="3">
        <f>L12-K12</f>
      </c>
      <c r="N12" s="4">
        <f>IF(K12=0,0,M12/K12)</f>
      </c>
      <c r="O12" s="2" t="s">
        <v>158</v>
      </c>
      <c r="P12" s="2" t="s">
        <v>159</v>
      </c>
      <c r="Q12" s="2" t="s">
        <v>160</v>
      </c>
      <c r="R12" s="2" t="s">
        <v>161</v>
      </c>
      <c r="S12" s="2" t="s">
        <v>162</v>
      </c>
    </row>
    <row customHeight="true" ht="15" r="13">
      <c r="A13" s="2">
        <v>2023</v>
      </c>
      <c r="B13" s="2">
        <v>1</v>
      </c>
      <c r="C13" s="2" t="s">
        <v>163</v>
      </c>
      <c r="D13" s="2" t="s">
        <v>164</v>
      </c>
      <c r="E13" s="2" t="s">
        <v>165</v>
      </c>
      <c r="F13" s="2" t="s">
        <v>166</v>
      </c>
      <c r="G13" s="2" t="s">
        <v>167</v>
      </c>
      <c r="H13" s="2" t="s">
        <v>168</v>
      </c>
      <c r="I13" s="2" t="s">
        <v>169</v>
      </c>
      <c r="J13" s="2" t="s">
        <v>170</v>
      </c>
      <c r="K13" s="3">
        <v>217493.07</v>
      </c>
      <c r="L13" s="3">
        <v>248956.16</v>
      </c>
      <c r="M13" s="3">
        <f>L13-K13</f>
      </c>
      <c r="N13" s="4">
        <f>IF(K13=0,0,M13/K13)</f>
      </c>
      <c r="O13" s="2" t="s">
        <v>171</v>
      </c>
      <c r="P13" s="2" t="s">
        <v>172</v>
      </c>
      <c r="Q13" s="2" t="s">
        <v>173</v>
      </c>
      <c r="R13" s="2" t="s">
        <v>174</v>
      </c>
      <c r="S13" s="2" t="s">
        <v>175</v>
      </c>
    </row>
    <row customHeight="true" ht="15" r="14">
      <c r="A14" s="2">
        <v>2023</v>
      </c>
      <c r="B14" s="2">
        <v>1</v>
      </c>
      <c r="C14" s="2" t="s">
        <v>176</v>
      </c>
      <c r="D14" s="2" t="s">
        <v>177</v>
      </c>
      <c r="E14" s="2" t="s">
        <v>178</v>
      </c>
      <c r="F14" s="2" t="s">
        <v>179</v>
      </c>
      <c r="G14" s="2" t="s">
        <v>180</v>
      </c>
      <c r="H14" s="2" t="s">
        <v>181</v>
      </c>
      <c r="I14" s="2" t="s">
        <v>182</v>
      </c>
      <c r="J14" s="2" t="s">
        <v>183</v>
      </c>
      <c r="K14" s="3">
        <v>433473.03</v>
      </c>
      <c r="L14" s="3">
        <v>484036.88</v>
      </c>
      <c r="M14" s="3">
        <f>L14-K14</f>
      </c>
      <c r="N14" s="4">
        <f>IF(K14=0,0,M14/K14)</f>
      </c>
      <c r="O14" s="2" t="s">
        <v>184</v>
      </c>
      <c r="P14" s="2" t="s">
        <v>185</v>
      </c>
      <c r="Q14" s="2" t="s">
        <v>186</v>
      </c>
      <c r="R14" s="2" t="s">
        <v>187</v>
      </c>
      <c r="S14" s="2" t="s">
        <v>188</v>
      </c>
    </row>
    <row customHeight="true" ht="15" r="15">
      <c r="A15" s="2">
        <v>2023</v>
      </c>
      <c r="B15" s="2">
        <v>1</v>
      </c>
      <c r="C15" s="2" t="s">
        <v>189</v>
      </c>
      <c r="D15" s="2" t="s">
        <v>190</v>
      </c>
      <c r="E15" s="2" t="s">
        <v>191</v>
      </c>
      <c r="F15" s="2" t="s">
        <v>192</v>
      </c>
      <c r="G15" s="2" t="s">
        <v>193</v>
      </c>
      <c r="H15" s="2" t="s">
        <v>194</v>
      </c>
      <c r="I15" s="2" t="s">
        <v>195</v>
      </c>
      <c r="J15" s="2" t="s">
        <v>196</v>
      </c>
      <c r="K15" s="3">
        <v>37768.23</v>
      </c>
      <c r="L15" s="3">
        <v>39094.67</v>
      </c>
      <c r="M15" s="3">
        <f>L15-K15</f>
      </c>
      <c r="N15" s="4">
        <f>IF(K15=0,0,M15/K15)</f>
      </c>
      <c r="O15" s="2" t="s">
        <v>197</v>
      </c>
      <c r="P15" s="2" t="s">
        <v>198</v>
      </c>
      <c r="Q15" s="2" t="s">
        <v>199</v>
      </c>
      <c r="R15" s="2" t="s">
        <v>200</v>
      </c>
      <c r="S15" s="2" t="s">
        <v>201</v>
      </c>
    </row>
    <row customHeight="true" ht="15" r="16">
      <c r="A16" s="2">
        <v>2023</v>
      </c>
      <c r="B16" s="2">
        <v>1</v>
      </c>
      <c r="C16" s="2" t="s">
        <v>202</v>
      </c>
      <c r="D16" s="2" t="s">
        <v>203</v>
      </c>
      <c r="E16" s="2" t="s">
        <v>204</v>
      </c>
      <c r="F16" s="2" t="s">
        <v>205</v>
      </c>
      <c r="G16" s="2" t="s">
        <v>206</v>
      </c>
      <c r="H16" s="2" t="s">
        <v>207</v>
      </c>
      <c r="I16" s="2" t="s">
        <v>208</v>
      </c>
      <c r="J16" s="2" t="s">
        <v>209</v>
      </c>
      <c r="K16" s="3">
        <v>106529.1</v>
      </c>
      <c r="L16" s="3">
        <v>89622.31</v>
      </c>
      <c r="M16" s="3">
        <f>L16-K16</f>
      </c>
      <c r="N16" s="4">
        <f>IF(K16=0,0,M16/K16)</f>
      </c>
      <c r="O16" s="2" t="s">
        <v>210</v>
      </c>
      <c r="P16" s="2" t="s">
        <v>211</v>
      </c>
      <c r="Q16" s="2" t="s">
        <v>212</v>
      </c>
      <c r="R16" s="2" t="s">
        <v>213</v>
      </c>
      <c r="S16" s="2" t="s">
        <v>214</v>
      </c>
    </row>
    <row customHeight="true" ht="15" r="17">
      <c r="A17" s="2">
        <v>2023</v>
      </c>
      <c r="B17" s="2">
        <v>2</v>
      </c>
      <c r="C17" s="2" t="s">
        <v>215</v>
      </c>
      <c r="D17" s="2" t="s">
        <v>216</v>
      </c>
      <c r="E17" s="2" t="s">
        <v>217</v>
      </c>
      <c r="F17" s="2" t="s">
        <v>218</v>
      </c>
      <c r="G17" s="2" t="s">
        <v>219</v>
      </c>
      <c r="H17" s="2" t="s">
        <v>220</v>
      </c>
      <c r="I17" s="2" t="s">
        <v>221</v>
      </c>
      <c r="J17" s="2" t="s">
        <v>222</v>
      </c>
      <c r="K17" s="3">
        <v>51496.55</v>
      </c>
      <c r="L17" s="3">
        <v>64152.57</v>
      </c>
      <c r="M17" s="3">
        <f>L17-K17</f>
      </c>
      <c r="N17" s="4">
        <f>IF(K17=0,0,M17/K17)</f>
      </c>
      <c r="O17" s="2" t="s">
        <v>223</v>
      </c>
      <c r="P17" s="2" t="s">
        <v>224</v>
      </c>
      <c r="Q17" s="2" t="s">
        <v>225</v>
      </c>
      <c r="R17" s="2" t="s">
        <v>226</v>
      </c>
      <c r="S17" s="2" t="s">
        <v>227</v>
      </c>
    </row>
    <row customHeight="true" ht="15" r="18">
      <c r="A18" s="2">
        <v>2023</v>
      </c>
      <c r="B18" s="2">
        <v>2</v>
      </c>
      <c r="C18" s="2" t="s">
        <v>228</v>
      </c>
      <c r="D18" s="2" t="s">
        <v>229</v>
      </c>
      <c r="E18" s="2" t="s">
        <v>230</v>
      </c>
      <c r="F18" s="2" t="s">
        <v>231</v>
      </c>
      <c r="G18" s="2" t="s">
        <v>232</v>
      </c>
      <c r="H18" s="2" t="s">
        <v>233</v>
      </c>
      <c r="I18" s="2" t="s">
        <v>234</v>
      </c>
      <c r="J18" s="2" t="s">
        <v>235</v>
      </c>
      <c r="K18" s="3">
        <v>132949.55</v>
      </c>
      <c r="L18" s="3">
        <v>151440.14</v>
      </c>
      <c r="M18" s="3">
        <f>L18-K18</f>
      </c>
      <c r="N18" s="4">
        <f>IF(K18=0,0,M18/K18)</f>
      </c>
      <c r="O18" s="2" t="s">
        <v>236</v>
      </c>
      <c r="P18" s="2" t="s">
        <v>237</v>
      </c>
      <c r="Q18" s="2" t="s">
        <v>238</v>
      </c>
      <c r="R18" s="2" t="s">
        <v>239</v>
      </c>
      <c r="S18" s="2" t="s">
        <v>240</v>
      </c>
    </row>
    <row customHeight="true" ht="15" r="19">
      <c r="A19" s="2">
        <v>2023</v>
      </c>
      <c r="B19" s="2">
        <v>2</v>
      </c>
      <c r="C19" s="2" t="s">
        <v>241</v>
      </c>
      <c r="D19" s="2" t="s">
        <v>242</v>
      </c>
      <c r="E19" s="2" t="s">
        <v>243</v>
      </c>
      <c r="F19" s="2" t="s">
        <v>244</v>
      </c>
      <c r="G19" s="2" t="s">
        <v>245</v>
      </c>
      <c r="H19" s="2" t="s">
        <v>246</v>
      </c>
      <c r="I19" s="2" t="s">
        <v>247</v>
      </c>
      <c r="J19" s="2" t="s">
        <v>248</v>
      </c>
      <c r="K19" s="3">
        <v>35878.97</v>
      </c>
      <c r="L19" s="3">
        <v>40336.53</v>
      </c>
      <c r="M19" s="3">
        <f>L19-K19</f>
      </c>
      <c r="N19" s="4">
        <f>IF(K19=0,0,M19/K19)</f>
      </c>
      <c r="O19" s="2" t="s">
        <v>249</v>
      </c>
      <c r="P19" s="2" t="s">
        <v>250</v>
      </c>
      <c r="Q19" s="2" t="s">
        <v>251</v>
      </c>
      <c r="R19" s="2" t="s">
        <v>252</v>
      </c>
      <c r="S19" s="2" t="s">
        <v>253</v>
      </c>
    </row>
    <row customHeight="true" ht="15" r="20">
      <c r="A20" s="2">
        <v>2023</v>
      </c>
      <c r="B20" s="2">
        <v>2</v>
      </c>
      <c r="C20" s="2" t="s">
        <v>254</v>
      </c>
      <c r="D20" s="2" t="s">
        <v>255</v>
      </c>
      <c r="E20" s="2" t="s">
        <v>256</v>
      </c>
      <c r="F20" s="2" t="s">
        <v>257</v>
      </c>
      <c r="G20" s="2" t="s">
        <v>258</v>
      </c>
      <c r="H20" s="2" t="s">
        <v>259</v>
      </c>
      <c r="I20" s="2" t="s">
        <v>260</v>
      </c>
      <c r="J20" s="2" t="s">
        <v>261</v>
      </c>
      <c r="K20" s="3">
        <v>425001.44</v>
      </c>
      <c r="L20" s="3">
        <v>434750.77</v>
      </c>
      <c r="M20" s="3">
        <f>L20-K20</f>
      </c>
      <c r="N20" s="4">
        <f>IF(K20=0,0,M20/K20)</f>
      </c>
      <c r="O20" s="2" t="s">
        <v>262</v>
      </c>
      <c r="P20" s="2" t="s">
        <v>263</v>
      </c>
      <c r="Q20" s="2" t="s">
        <v>264</v>
      </c>
      <c r="R20" s="2" t="s">
        <v>265</v>
      </c>
      <c r="S20" s="2" t="s">
        <v>266</v>
      </c>
    </row>
    <row customHeight="true" ht="15" r="21">
      <c r="A21" s="2">
        <v>2023</v>
      </c>
      <c r="B21" s="2">
        <v>2</v>
      </c>
      <c r="C21" s="2" t="s">
        <v>267</v>
      </c>
      <c r="D21" s="2" t="s">
        <v>268</v>
      </c>
      <c r="E21" s="2" t="s">
        <v>269</v>
      </c>
      <c r="F21" s="2" t="s">
        <v>270</v>
      </c>
      <c r="G21" s="2" t="s">
        <v>271</v>
      </c>
      <c r="H21" s="2" t="s">
        <v>272</v>
      </c>
      <c r="I21" s="2" t="s">
        <v>273</v>
      </c>
      <c r="J21" s="2" t="s">
        <v>274</v>
      </c>
      <c r="K21" s="3">
        <v>119768.15</v>
      </c>
      <c r="L21" s="3">
        <v>111992.08</v>
      </c>
      <c r="M21" s="3">
        <f>L21-K21</f>
      </c>
      <c r="N21" s="4">
        <f>IF(K21=0,0,M21/K21)</f>
      </c>
      <c r="O21" s="2" t="s">
        <v>275</v>
      </c>
      <c r="P21" s="2" t="s">
        <v>276</v>
      </c>
      <c r="Q21" s="2" t="s">
        <v>277</v>
      </c>
      <c r="R21" s="2" t="s">
        <v>278</v>
      </c>
      <c r="S21" s="2" t="s">
        <v>279</v>
      </c>
    </row>
    <row customHeight="true" ht="15" r="22">
      <c r="A22" s="2">
        <v>2023</v>
      </c>
      <c r="B22" s="2">
        <v>2</v>
      </c>
      <c r="C22" s="2" t="s">
        <v>280</v>
      </c>
      <c r="D22" s="2" t="s">
        <v>281</v>
      </c>
      <c r="E22" s="2" t="s">
        <v>282</v>
      </c>
      <c r="F22" s="2" t="s">
        <v>283</v>
      </c>
      <c r="G22" s="2" t="s">
        <v>284</v>
      </c>
      <c r="H22" s="2" t="s">
        <v>285</v>
      </c>
      <c r="I22" s="2" t="s">
        <v>286</v>
      </c>
      <c r="J22" s="2" t="s">
        <v>287</v>
      </c>
      <c r="K22" s="3">
        <v>37543.16</v>
      </c>
      <c r="L22" s="3">
        <v>31201.35</v>
      </c>
      <c r="M22" s="3">
        <f>L22-K22</f>
      </c>
      <c r="N22" s="4">
        <f>IF(K22=0,0,M22/K22)</f>
      </c>
      <c r="O22" s="2" t="s">
        <v>288</v>
      </c>
      <c r="P22" s="2" t="s">
        <v>289</v>
      </c>
      <c r="Q22" s="2" t="s">
        <v>290</v>
      </c>
      <c r="R22" s="2" t="s">
        <v>291</v>
      </c>
      <c r="S22" s="2" t="s">
        <v>292</v>
      </c>
    </row>
    <row customHeight="true" ht="15" r="23">
      <c r="A23" s="2">
        <v>2023</v>
      </c>
      <c r="B23" s="2">
        <v>2</v>
      </c>
      <c r="C23" s="2" t="s">
        <v>293</v>
      </c>
      <c r="D23" s="2" t="s">
        <v>294</v>
      </c>
      <c r="E23" s="2" t="s">
        <v>295</v>
      </c>
      <c r="F23" s="2" t="s">
        <v>296</v>
      </c>
      <c r="G23" s="2" t="s">
        <v>297</v>
      </c>
      <c r="H23" s="2" t="s">
        <v>298</v>
      </c>
      <c r="I23" s="2" t="s">
        <v>299</v>
      </c>
      <c r="J23" s="2" t="s">
        <v>300</v>
      </c>
      <c r="K23" s="3">
        <v>340800.59</v>
      </c>
      <c r="L23" s="3">
        <v>328639.93</v>
      </c>
      <c r="M23" s="3">
        <f>L23-K23</f>
      </c>
      <c r="N23" s="4">
        <f>IF(K23=0,0,M23/K23)</f>
      </c>
      <c r="O23" s="2" t="s">
        <v>301</v>
      </c>
      <c r="P23" s="2" t="s">
        <v>302</v>
      </c>
      <c r="Q23" s="2" t="s">
        <v>303</v>
      </c>
      <c r="R23" s="2" t="s">
        <v>304</v>
      </c>
      <c r="S23" s="2" t="s">
        <v>305</v>
      </c>
    </row>
    <row customHeight="true" ht="15" r="24">
      <c r="A24" s="2">
        <v>2023</v>
      </c>
      <c r="B24" s="2">
        <v>2</v>
      </c>
      <c r="C24" s="2" t="s">
        <v>306</v>
      </c>
      <c r="D24" s="2" t="s">
        <v>307</v>
      </c>
      <c r="E24" s="2" t="s">
        <v>308</v>
      </c>
      <c r="F24" s="2" t="s">
        <v>309</v>
      </c>
      <c r="G24" s="2" t="s">
        <v>310</v>
      </c>
      <c r="H24" s="2" t="s">
        <v>311</v>
      </c>
      <c r="I24" s="2" t="s">
        <v>312</v>
      </c>
      <c r="J24" s="2" t="s">
        <v>313</v>
      </c>
      <c r="K24" s="3">
        <v>123358.18</v>
      </c>
      <c r="L24" s="3">
        <v>148987.84</v>
      </c>
      <c r="M24" s="3">
        <f>L24-K24</f>
      </c>
      <c r="N24" s="4">
        <f>IF(K24=0,0,M24/K24)</f>
      </c>
      <c r="O24" s="2" t="s">
        <v>314</v>
      </c>
      <c r="P24" s="2" t="s">
        <v>315</v>
      </c>
      <c r="Q24" s="2" t="s">
        <v>316</v>
      </c>
      <c r="R24" s="2" t="s">
        <v>317</v>
      </c>
      <c r="S24" s="2" t="s">
        <v>318</v>
      </c>
    </row>
    <row customHeight="true" ht="15" r="25">
      <c r="A25" s="2">
        <v>2023</v>
      </c>
      <c r="B25" s="2">
        <v>2</v>
      </c>
      <c r="C25" s="2" t="s">
        <v>319</v>
      </c>
      <c r="D25" s="2" t="s">
        <v>320</v>
      </c>
      <c r="E25" s="2" t="s">
        <v>321</v>
      </c>
      <c r="F25" s="2" t="s">
        <v>322</v>
      </c>
      <c r="G25" s="2" t="s">
        <v>323</v>
      </c>
      <c r="H25" s="2" t="s">
        <v>324</v>
      </c>
      <c r="I25" s="2" t="s">
        <v>325</v>
      </c>
      <c r="J25" s="2" t="s">
        <v>326</v>
      </c>
      <c r="K25" s="3">
        <v>193400.37</v>
      </c>
      <c r="L25" s="3">
        <v>201845.86</v>
      </c>
      <c r="M25" s="3">
        <f>L25-K25</f>
      </c>
      <c r="N25" s="4">
        <f>IF(K25=0,0,M25/K25)</f>
      </c>
      <c r="O25" s="2" t="s">
        <v>327</v>
      </c>
      <c r="P25" s="2" t="s">
        <v>328</v>
      </c>
      <c r="Q25" s="2" t="s">
        <v>329</v>
      </c>
      <c r="R25" s="2" t="s">
        <v>330</v>
      </c>
      <c r="S25" s="2" t="s">
        <v>331</v>
      </c>
    </row>
    <row customHeight="true" ht="15" r="26">
      <c r="A26" s="2">
        <v>2023</v>
      </c>
      <c r="B26" s="2">
        <v>2</v>
      </c>
      <c r="C26" s="2" t="s">
        <v>332</v>
      </c>
      <c r="D26" s="2" t="s">
        <v>333</v>
      </c>
      <c r="E26" s="2" t="s">
        <v>334</v>
      </c>
      <c r="F26" s="2" t="s">
        <v>335</v>
      </c>
      <c r="G26" s="2" t="s">
        <v>336</v>
      </c>
      <c r="H26" s="2" t="s">
        <v>337</v>
      </c>
      <c r="I26" s="2" t="s">
        <v>338</v>
      </c>
      <c r="J26" s="2" t="s">
        <v>339</v>
      </c>
      <c r="K26" s="3">
        <v>211316.01</v>
      </c>
      <c r="L26" s="3">
        <v>231487.41</v>
      </c>
      <c r="M26" s="3">
        <f>L26-K26</f>
      </c>
      <c r="N26" s="4">
        <f>IF(K26=0,0,M26/K26)</f>
      </c>
      <c r="O26" s="2" t="s">
        <v>340</v>
      </c>
      <c r="P26" s="2" t="s">
        <v>341</v>
      </c>
      <c r="Q26" s="2" t="s">
        <v>342</v>
      </c>
      <c r="R26" s="2" t="s">
        <v>343</v>
      </c>
      <c r="S26" s="2" t="s">
        <v>344</v>
      </c>
    </row>
    <row customHeight="true" ht="15" r="27">
      <c r="A27" s="2">
        <v>2023</v>
      </c>
      <c r="B27" s="2">
        <v>2</v>
      </c>
      <c r="C27" s="2" t="s">
        <v>345</v>
      </c>
      <c r="D27" s="2" t="s">
        <v>346</v>
      </c>
      <c r="E27" s="2" t="s">
        <v>347</v>
      </c>
      <c r="F27" s="2" t="s">
        <v>348</v>
      </c>
      <c r="G27" s="2" t="s">
        <v>349</v>
      </c>
      <c r="H27" s="2" t="s">
        <v>350</v>
      </c>
      <c r="I27" s="2" t="s">
        <v>351</v>
      </c>
      <c r="J27" s="2" t="s">
        <v>352</v>
      </c>
      <c r="K27" s="3">
        <v>18497.18</v>
      </c>
      <c r="L27" s="3">
        <v>17567.9</v>
      </c>
      <c r="M27" s="3">
        <f>L27-K27</f>
      </c>
      <c r="N27" s="4">
        <f>IF(K27=0,0,M27/K27)</f>
      </c>
      <c r="O27" s="2" t="s">
        <v>353</v>
      </c>
      <c r="P27" s="2" t="s">
        <v>354</v>
      </c>
      <c r="Q27" s="2" t="s">
        <v>355</v>
      </c>
      <c r="R27" s="2" t="s">
        <v>356</v>
      </c>
      <c r="S27" s="2" t="s">
        <v>357</v>
      </c>
    </row>
    <row customHeight="true" ht="15" r="28">
      <c r="A28" s="2">
        <v>2023</v>
      </c>
      <c r="B28" s="2">
        <v>2</v>
      </c>
      <c r="C28" s="2" t="s">
        <v>358</v>
      </c>
      <c r="D28" s="2" t="s">
        <v>359</v>
      </c>
      <c r="E28" s="2" t="s">
        <v>360</v>
      </c>
      <c r="F28" s="2" t="s">
        <v>361</v>
      </c>
      <c r="G28" s="2" t="s">
        <v>362</v>
      </c>
      <c r="H28" s="2" t="s">
        <v>363</v>
      </c>
      <c r="I28" s="2" t="s">
        <v>364</v>
      </c>
      <c r="J28" s="2" t="s">
        <v>365</v>
      </c>
      <c r="K28" s="3">
        <v>67252.48</v>
      </c>
      <c r="L28" s="3">
        <v>58990.54</v>
      </c>
      <c r="M28" s="3">
        <f>L28-K28</f>
      </c>
      <c r="N28" s="4">
        <f>IF(K28=0,0,M28/K28)</f>
      </c>
      <c r="O28" s="2" t="s">
        <v>366</v>
      </c>
      <c r="P28" s="2" t="s">
        <v>367</v>
      </c>
      <c r="Q28" s="2" t="s">
        <v>368</v>
      </c>
      <c r="R28" s="2" t="s">
        <v>369</v>
      </c>
      <c r="S28" s="2" t="s">
        <v>370</v>
      </c>
    </row>
    <row customHeight="true" ht="15" r="29">
      <c r="A29" s="2">
        <v>2023</v>
      </c>
      <c r="B29" s="2">
        <v>2</v>
      </c>
      <c r="C29" s="2" t="s">
        <v>371</v>
      </c>
      <c r="D29" s="2" t="s">
        <v>372</v>
      </c>
      <c r="E29" s="2" t="s">
        <v>373</v>
      </c>
      <c r="F29" s="2" t="s">
        <v>374</v>
      </c>
      <c r="G29" s="2" t="s">
        <v>375</v>
      </c>
      <c r="H29" s="2" t="s">
        <v>376</v>
      </c>
      <c r="I29" s="2" t="s">
        <v>377</v>
      </c>
      <c r="J29" s="2" t="s">
        <v>378</v>
      </c>
      <c r="K29" s="3">
        <v>85269.69</v>
      </c>
      <c r="L29" s="3">
        <v>108506.28</v>
      </c>
      <c r="M29" s="3">
        <f>L29-K29</f>
      </c>
      <c r="N29" s="4">
        <f>IF(K29=0,0,M29/K29)</f>
      </c>
      <c r="O29" s="2" t="s">
        <v>379</v>
      </c>
      <c r="P29" s="2" t="s">
        <v>380</v>
      </c>
      <c r="Q29" s="2" t="s">
        <v>381</v>
      </c>
      <c r="R29" s="2" t="s">
        <v>382</v>
      </c>
      <c r="S29" s="2" t="s">
        <v>383</v>
      </c>
    </row>
    <row customHeight="true" ht="15" r="30">
      <c r="A30" s="2">
        <v>2023</v>
      </c>
      <c r="B30" s="2">
        <v>2</v>
      </c>
      <c r="C30" s="2" t="s">
        <v>384</v>
      </c>
      <c r="D30" s="2" t="s">
        <v>385</v>
      </c>
      <c r="E30" s="2" t="s">
        <v>386</v>
      </c>
      <c r="F30" s="2" t="s">
        <v>387</v>
      </c>
      <c r="G30" s="2" t="s">
        <v>388</v>
      </c>
      <c r="H30" s="2" t="s">
        <v>389</v>
      </c>
      <c r="I30" s="2" t="s">
        <v>390</v>
      </c>
      <c r="J30" s="2" t="s">
        <v>391</v>
      </c>
      <c r="K30" s="3">
        <v>339528.4</v>
      </c>
      <c r="L30" s="3">
        <v>402870.39</v>
      </c>
      <c r="M30" s="3">
        <f>L30-K30</f>
      </c>
      <c r="N30" s="4">
        <f>IF(K30=0,0,M30/K30)</f>
      </c>
      <c r="O30" s="2" t="s">
        <v>392</v>
      </c>
      <c r="P30" s="2" t="s">
        <v>393</v>
      </c>
      <c r="Q30" s="2" t="s">
        <v>394</v>
      </c>
      <c r="R30" s="2" t="s">
        <v>395</v>
      </c>
      <c r="S30" s="2" t="s">
        <v>396</v>
      </c>
    </row>
    <row customHeight="true" ht="15" r="31">
      <c r="A31" s="2">
        <v>2023</v>
      </c>
      <c r="B31" s="2">
        <v>2</v>
      </c>
      <c r="C31" s="2" t="s">
        <v>397</v>
      </c>
      <c r="D31" s="2" t="s">
        <v>398</v>
      </c>
      <c r="E31" s="2" t="s">
        <v>399</v>
      </c>
      <c r="F31" s="2" t="s">
        <v>400</v>
      </c>
      <c r="G31" s="2" t="s">
        <v>401</v>
      </c>
      <c r="H31" s="2" t="s">
        <v>402</v>
      </c>
      <c r="I31" s="2" t="s">
        <v>403</v>
      </c>
      <c r="J31" s="2" t="s">
        <v>404</v>
      </c>
      <c r="K31" s="3">
        <v>61560.92</v>
      </c>
      <c r="L31" s="3">
        <v>67594.47</v>
      </c>
      <c r="M31" s="3">
        <f>L31-K31</f>
      </c>
      <c r="N31" s="4">
        <f>IF(K31=0,0,M31/K31)</f>
      </c>
      <c r="O31" s="2" t="s">
        <v>405</v>
      </c>
      <c r="P31" s="2" t="s">
        <v>406</v>
      </c>
      <c r="Q31" s="2" t="s">
        <v>407</v>
      </c>
      <c r="R31" s="2" t="s">
        <v>408</v>
      </c>
      <c r="S31" s="2" t="s">
        <v>409</v>
      </c>
    </row>
    <row customHeight="true" ht="15" r="32">
      <c r="A32" s="2">
        <v>2023</v>
      </c>
      <c r="B32" s="2">
        <v>3</v>
      </c>
      <c r="C32" s="2" t="s">
        <v>410</v>
      </c>
      <c r="D32" s="2" t="s">
        <v>411</v>
      </c>
      <c r="E32" s="2" t="s">
        <v>412</v>
      </c>
      <c r="F32" s="2" t="s">
        <v>413</v>
      </c>
      <c r="G32" s="2" t="s">
        <v>414</v>
      </c>
      <c r="H32" s="2" t="s">
        <v>415</v>
      </c>
      <c r="I32" s="2" t="s">
        <v>416</v>
      </c>
      <c r="J32" s="2" t="s">
        <v>417</v>
      </c>
      <c r="K32" s="3">
        <v>20003.88</v>
      </c>
      <c r="L32" s="3">
        <v>20509.36</v>
      </c>
      <c r="M32" s="3">
        <f>L32-K32</f>
      </c>
      <c r="N32" s="4">
        <f>IF(K32=0,0,M32/K32)</f>
      </c>
      <c r="O32" s="2" t="s">
        <v>418</v>
      </c>
      <c r="P32" s="2" t="s">
        <v>419</v>
      </c>
      <c r="Q32" s="2" t="s">
        <v>420</v>
      </c>
      <c r="R32" s="2" t="s">
        <v>421</v>
      </c>
      <c r="S32" s="2" t="s">
        <v>422</v>
      </c>
    </row>
    <row customHeight="true" ht="15" r="33">
      <c r="A33" s="2">
        <v>2023</v>
      </c>
      <c r="B33" s="2">
        <v>3</v>
      </c>
      <c r="C33" s="2" t="s">
        <v>423</v>
      </c>
      <c r="D33" s="2" t="s">
        <v>424</v>
      </c>
      <c r="E33" s="2" t="s">
        <v>425</v>
      </c>
      <c r="F33" s="2" t="s">
        <v>426</v>
      </c>
      <c r="G33" s="2" t="s">
        <v>427</v>
      </c>
      <c r="H33" s="2" t="s">
        <v>428</v>
      </c>
      <c r="I33" s="2" t="s">
        <v>429</v>
      </c>
      <c r="J33" s="2" t="s">
        <v>430</v>
      </c>
      <c r="K33" s="3">
        <v>144602.86</v>
      </c>
      <c r="L33" s="3">
        <v>155557.39</v>
      </c>
      <c r="M33" s="3">
        <f>L33-K33</f>
      </c>
      <c r="N33" s="4">
        <f>IF(K33=0,0,M33/K33)</f>
      </c>
      <c r="O33" s="2" t="s">
        <v>431</v>
      </c>
      <c r="P33" s="2" t="s">
        <v>432</v>
      </c>
      <c r="Q33" s="2" t="s">
        <v>433</v>
      </c>
      <c r="R33" s="2" t="s">
        <v>434</v>
      </c>
      <c r="S33" s="2" t="s">
        <v>435</v>
      </c>
    </row>
    <row customHeight="true" ht="15" r="34">
      <c r="A34" s="2">
        <v>2023</v>
      </c>
      <c r="B34" s="2">
        <v>3</v>
      </c>
      <c r="C34" s="2" t="s">
        <v>436</v>
      </c>
      <c r="D34" s="2" t="s">
        <v>437</v>
      </c>
      <c r="E34" s="2" t="s">
        <v>438</v>
      </c>
      <c r="F34" s="2" t="s">
        <v>439</v>
      </c>
      <c r="G34" s="2" t="s">
        <v>440</v>
      </c>
      <c r="H34" s="2" t="s">
        <v>441</v>
      </c>
      <c r="I34" s="2" t="s">
        <v>442</v>
      </c>
      <c r="J34" s="2" t="s">
        <v>443</v>
      </c>
      <c r="K34" s="3">
        <v>59912.09</v>
      </c>
      <c r="L34" s="3">
        <v>70908.62</v>
      </c>
      <c r="M34" s="3">
        <f>L34-K34</f>
      </c>
      <c r="N34" s="4">
        <f>IF(K34=0,0,M34/K34)</f>
      </c>
      <c r="O34" s="2" t="s">
        <v>444</v>
      </c>
      <c r="P34" s="2" t="s">
        <v>445</v>
      </c>
      <c r="Q34" s="2" t="s">
        <v>446</v>
      </c>
      <c r="R34" s="2" t="s">
        <v>447</v>
      </c>
      <c r="S34" s="2" t="s">
        <v>448</v>
      </c>
    </row>
    <row customHeight="true" ht="15" r="35">
      <c r="A35" s="2">
        <v>2023</v>
      </c>
      <c r="B35" s="2">
        <v>3</v>
      </c>
      <c r="C35" s="2" t="s">
        <v>449</v>
      </c>
      <c r="D35" s="2" t="s">
        <v>450</v>
      </c>
      <c r="E35" s="2" t="s">
        <v>451</v>
      </c>
      <c r="F35" s="2" t="s">
        <v>452</v>
      </c>
      <c r="G35" s="2" t="s">
        <v>453</v>
      </c>
      <c r="H35" s="2" t="s">
        <v>454</v>
      </c>
      <c r="I35" s="2" t="s">
        <v>455</v>
      </c>
      <c r="J35" s="2" t="s">
        <v>456</v>
      </c>
      <c r="K35" s="3">
        <v>189278.83</v>
      </c>
      <c r="L35" s="3">
        <v>227376.11</v>
      </c>
      <c r="M35" s="3">
        <f>L35-K35</f>
      </c>
      <c r="N35" s="4">
        <f>IF(K35=0,0,M35/K35)</f>
      </c>
      <c r="O35" s="2" t="s">
        <v>457</v>
      </c>
      <c r="P35" s="2" t="s">
        <v>458</v>
      </c>
      <c r="Q35" s="2" t="s">
        <v>459</v>
      </c>
      <c r="R35" s="2" t="s">
        <v>460</v>
      </c>
      <c r="S35" s="2" t="s">
        <v>461</v>
      </c>
    </row>
    <row customHeight="true" ht="15" r="36">
      <c r="A36" s="2">
        <v>2023</v>
      </c>
      <c r="B36" s="2">
        <v>3</v>
      </c>
      <c r="C36" s="2" t="s">
        <v>462</v>
      </c>
      <c r="D36" s="2" t="s">
        <v>463</v>
      </c>
      <c r="E36" s="2" t="s">
        <v>464</v>
      </c>
      <c r="F36" s="2" t="s">
        <v>465</v>
      </c>
      <c r="G36" s="2" t="s">
        <v>466</v>
      </c>
      <c r="H36" s="2" t="s">
        <v>467</v>
      </c>
      <c r="I36" s="2" t="s">
        <v>468</v>
      </c>
      <c r="J36" s="2" t="s">
        <v>469</v>
      </c>
      <c r="K36" s="3">
        <v>335472.25</v>
      </c>
      <c r="L36" s="3">
        <v>377720.15</v>
      </c>
      <c r="M36" s="3">
        <f>L36-K36</f>
      </c>
      <c r="N36" s="4">
        <f>IF(K36=0,0,M36/K36)</f>
      </c>
      <c r="O36" s="2" t="s">
        <v>470</v>
      </c>
      <c r="P36" s="2" t="s">
        <v>471</v>
      </c>
      <c r="Q36" s="2" t="s">
        <v>472</v>
      </c>
      <c r="R36" s="2" t="s">
        <v>473</v>
      </c>
      <c r="S36" s="2" t="s">
        <v>474</v>
      </c>
    </row>
    <row customHeight="true" ht="15" r="37">
      <c r="A37" s="2">
        <v>2023</v>
      </c>
      <c r="B37" s="2">
        <v>3</v>
      </c>
      <c r="C37" s="2" t="s">
        <v>475</v>
      </c>
      <c r="D37" s="2" t="s">
        <v>476</v>
      </c>
      <c r="E37" s="2" t="s">
        <v>477</v>
      </c>
      <c r="F37" s="2" t="s">
        <v>478</v>
      </c>
      <c r="G37" s="2" t="s">
        <v>479</v>
      </c>
      <c r="H37" s="2" t="s">
        <v>480</v>
      </c>
      <c r="I37" s="2" t="s">
        <v>481</v>
      </c>
      <c r="J37" s="2" t="s">
        <v>482</v>
      </c>
      <c r="K37" s="3">
        <v>12258.05</v>
      </c>
      <c r="L37" s="3">
        <v>14777.79</v>
      </c>
      <c r="M37" s="3">
        <f>L37-K37</f>
      </c>
      <c r="N37" s="4">
        <f>IF(K37=0,0,M37/K37)</f>
      </c>
      <c r="O37" s="2" t="s">
        <v>483</v>
      </c>
      <c r="P37" s="2" t="s">
        <v>484</v>
      </c>
      <c r="Q37" s="2" t="s">
        <v>485</v>
      </c>
      <c r="R37" s="2" t="s">
        <v>486</v>
      </c>
      <c r="S37" s="2" t="s">
        <v>487</v>
      </c>
    </row>
    <row customHeight="true" ht="15" r="38">
      <c r="A38" s="2">
        <v>2023</v>
      </c>
      <c r="B38" s="2">
        <v>3</v>
      </c>
      <c r="C38" s="2" t="s">
        <v>488</v>
      </c>
      <c r="D38" s="2" t="s">
        <v>489</v>
      </c>
      <c r="E38" s="2" t="s">
        <v>490</v>
      </c>
      <c r="F38" s="2" t="s">
        <v>491</v>
      </c>
      <c r="G38" s="2" t="s">
        <v>492</v>
      </c>
      <c r="H38" s="2" t="s">
        <v>493</v>
      </c>
      <c r="I38" s="2" t="s">
        <v>494</v>
      </c>
      <c r="J38" s="2" t="s">
        <v>495</v>
      </c>
      <c r="K38" s="3">
        <v>104642.46</v>
      </c>
      <c r="L38" s="3">
        <v>94024.7</v>
      </c>
      <c r="M38" s="3">
        <f>L38-K38</f>
      </c>
      <c r="N38" s="4">
        <f>IF(K38=0,0,M38/K38)</f>
      </c>
      <c r="O38" s="2" t="s">
        <v>496</v>
      </c>
      <c r="P38" s="2" t="s">
        <v>497</v>
      </c>
      <c r="Q38" s="2" t="s">
        <v>498</v>
      </c>
      <c r="R38" s="2" t="s">
        <v>499</v>
      </c>
      <c r="S38" s="2" t="s">
        <v>500</v>
      </c>
    </row>
    <row customHeight="true" ht="15" r="39">
      <c r="A39" s="2">
        <v>2023</v>
      </c>
      <c r="B39" s="2">
        <v>3</v>
      </c>
      <c r="C39" s="2" t="s">
        <v>501</v>
      </c>
      <c r="D39" s="2" t="s">
        <v>502</v>
      </c>
      <c r="E39" s="2" t="s">
        <v>503</v>
      </c>
      <c r="F39" s="2" t="s">
        <v>504</v>
      </c>
      <c r="G39" s="2" t="s">
        <v>505</v>
      </c>
      <c r="H39" s="2" t="s">
        <v>506</v>
      </c>
      <c r="I39" s="2" t="s">
        <v>507</v>
      </c>
      <c r="J39" s="2" t="s">
        <v>508</v>
      </c>
      <c r="K39" s="3">
        <v>453410.86</v>
      </c>
      <c r="L39" s="3">
        <v>508678.98</v>
      </c>
      <c r="M39" s="3">
        <f>L39-K39</f>
      </c>
      <c r="N39" s="4">
        <f>IF(K39=0,0,M39/K39)</f>
      </c>
      <c r="O39" s="2" t="s">
        <v>509</v>
      </c>
      <c r="P39" s="2" t="s">
        <v>510</v>
      </c>
      <c r="Q39" s="2" t="s">
        <v>511</v>
      </c>
      <c r="R39" s="2" t="s">
        <v>512</v>
      </c>
      <c r="S39" s="2" t="s">
        <v>513</v>
      </c>
    </row>
    <row customHeight="true" ht="15" r="40">
      <c r="A40" s="2">
        <v>2023</v>
      </c>
      <c r="B40" s="2">
        <v>3</v>
      </c>
      <c r="C40" s="2" t="s">
        <v>514</v>
      </c>
      <c r="D40" s="2" t="s">
        <v>515</v>
      </c>
      <c r="E40" s="2" t="s">
        <v>516</v>
      </c>
      <c r="F40" s="2" t="s">
        <v>517</v>
      </c>
      <c r="G40" s="2" t="s">
        <v>518</v>
      </c>
      <c r="H40" s="2" t="s">
        <v>519</v>
      </c>
      <c r="I40" s="2" t="s">
        <v>520</v>
      </c>
      <c r="J40" s="2" t="s">
        <v>521</v>
      </c>
      <c r="K40" s="3">
        <v>143759.37</v>
      </c>
      <c r="L40" s="3">
        <v>120025.64</v>
      </c>
      <c r="M40" s="3">
        <f>L40-K40</f>
      </c>
      <c r="N40" s="4">
        <f>IF(K40=0,0,M40/K40)</f>
      </c>
      <c r="O40" s="2" t="s">
        <v>522</v>
      </c>
      <c r="P40" s="2" t="s">
        <v>523</v>
      </c>
      <c r="Q40" s="2" t="s">
        <v>524</v>
      </c>
      <c r="R40" s="2" t="s">
        <v>525</v>
      </c>
      <c r="S40" s="2" t="s">
        <v>526</v>
      </c>
    </row>
    <row customHeight="true" ht="15" r="41">
      <c r="A41" s="2">
        <v>2023</v>
      </c>
      <c r="B41" s="2">
        <v>3</v>
      </c>
      <c r="C41" s="2" t="s">
        <v>527</v>
      </c>
      <c r="D41" s="2" t="s">
        <v>528</v>
      </c>
      <c r="E41" s="2" t="s">
        <v>529</v>
      </c>
      <c r="F41" s="2" t="s">
        <v>530</v>
      </c>
      <c r="G41" s="2" t="s">
        <v>531</v>
      </c>
      <c r="H41" s="2" t="s">
        <v>532</v>
      </c>
      <c r="I41" s="2" t="s">
        <v>533</v>
      </c>
      <c r="J41" s="2" t="s">
        <v>534</v>
      </c>
      <c r="K41" s="3">
        <v>6552.77</v>
      </c>
      <c r="L41" s="3">
        <v>5522.09</v>
      </c>
      <c r="M41" s="3">
        <f>L41-K41</f>
      </c>
      <c r="N41" s="4">
        <f>IF(K41=0,0,M41/K41)</f>
      </c>
      <c r="O41" s="2" t="s">
        <v>535</v>
      </c>
      <c r="P41" s="2" t="s">
        <v>536</v>
      </c>
      <c r="Q41" s="2" t="s">
        <v>537</v>
      </c>
      <c r="R41" s="2" t="s">
        <v>538</v>
      </c>
      <c r="S41" s="2" t="s">
        <v>539</v>
      </c>
    </row>
    <row customHeight="true" ht="15" r="42">
      <c r="A42" s="2">
        <v>2023</v>
      </c>
      <c r="B42" s="2">
        <v>3</v>
      </c>
      <c r="C42" s="2" t="s">
        <v>540</v>
      </c>
      <c r="D42" s="2" t="s">
        <v>541</v>
      </c>
      <c r="E42" s="2" t="s">
        <v>542</v>
      </c>
      <c r="F42" s="2" t="s">
        <v>543</v>
      </c>
      <c r="G42" s="2" t="s">
        <v>544</v>
      </c>
      <c r="H42" s="2" t="s">
        <v>545</v>
      </c>
      <c r="I42" s="2" t="s">
        <v>546</v>
      </c>
      <c r="J42" s="2" t="s">
        <v>547</v>
      </c>
      <c r="K42" s="3">
        <v>79545.55</v>
      </c>
      <c r="L42" s="3">
        <v>81640.15</v>
      </c>
      <c r="M42" s="3">
        <f>L42-K42</f>
      </c>
      <c r="N42" s="4">
        <f>IF(K42=0,0,M42/K42)</f>
      </c>
      <c r="O42" s="2" t="s">
        <v>548</v>
      </c>
      <c r="P42" s="2" t="s">
        <v>549</v>
      </c>
      <c r="Q42" s="2" t="s">
        <v>550</v>
      </c>
      <c r="R42" s="2" t="s">
        <v>551</v>
      </c>
      <c r="S42" s="2" t="s">
        <v>552</v>
      </c>
    </row>
    <row customHeight="true" ht="15" r="43">
      <c r="A43" s="2">
        <v>2023</v>
      </c>
      <c r="B43" s="2">
        <v>3</v>
      </c>
      <c r="C43" s="2" t="s">
        <v>553</v>
      </c>
      <c r="D43" s="2" t="s">
        <v>554</v>
      </c>
      <c r="E43" s="2" t="s">
        <v>555</v>
      </c>
      <c r="F43" s="2" t="s">
        <v>556</v>
      </c>
      <c r="G43" s="2" t="s">
        <v>557</v>
      </c>
      <c r="H43" s="2" t="s">
        <v>558</v>
      </c>
      <c r="I43" s="2" t="s">
        <v>559</v>
      </c>
      <c r="J43" s="2" t="s">
        <v>560</v>
      </c>
      <c r="K43" s="3">
        <v>384713.73</v>
      </c>
      <c r="L43" s="3">
        <v>434543.82</v>
      </c>
      <c r="M43" s="3">
        <f>L43-K43</f>
      </c>
      <c r="N43" s="4">
        <f>IF(K43=0,0,M43/K43)</f>
      </c>
      <c r="O43" s="2" t="s">
        <v>561</v>
      </c>
      <c r="P43" s="2" t="s">
        <v>562</v>
      </c>
      <c r="Q43" s="2" t="s">
        <v>563</v>
      </c>
      <c r="R43" s="2" t="s">
        <v>564</v>
      </c>
      <c r="S43" s="2" t="s">
        <v>565</v>
      </c>
    </row>
    <row customHeight="true" ht="15" r="44">
      <c r="A44" s="2">
        <v>2023</v>
      </c>
      <c r="B44" s="2">
        <v>3</v>
      </c>
      <c r="C44" s="2" t="s">
        <v>566</v>
      </c>
      <c r="D44" s="2" t="s">
        <v>567</v>
      </c>
      <c r="E44" s="2" t="s">
        <v>568</v>
      </c>
      <c r="F44" s="2" t="s">
        <v>569</v>
      </c>
      <c r="G44" s="2" t="s">
        <v>570</v>
      </c>
      <c r="H44" s="2" t="s">
        <v>571</v>
      </c>
      <c r="I44" s="2" t="s">
        <v>572</v>
      </c>
      <c r="J44" s="2" t="s">
        <v>573</v>
      </c>
      <c r="K44" s="3">
        <v>125256.78</v>
      </c>
      <c r="L44" s="3">
        <v>127451.78</v>
      </c>
      <c r="M44" s="3">
        <f>L44-K44</f>
      </c>
      <c r="N44" s="4">
        <f>IF(K44=0,0,M44/K44)</f>
      </c>
      <c r="O44" s="2" t="s">
        <v>574</v>
      </c>
      <c r="P44" s="2" t="s">
        <v>575</v>
      </c>
      <c r="Q44" s="2" t="s">
        <v>576</v>
      </c>
      <c r="R44" s="2" t="s">
        <v>577</v>
      </c>
      <c r="S44" s="2" t="s">
        <v>578</v>
      </c>
    </row>
    <row customHeight="true" ht="15" r="45">
      <c r="A45" s="2">
        <v>2023</v>
      </c>
      <c r="B45" s="2">
        <v>3</v>
      </c>
      <c r="C45" s="2" t="s">
        <v>579</v>
      </c>
      <c r="D45" s="2" t="s">
        <v>580</v>
      </c>
      <c r="E45" s="2" t="s">
        <v>581</v>
      </c>
      <c r="F45" s="2" t="s">
        <v>582</v>
      </c>
      <c r="G45" s="2" t="s">
        <v>583</v>
      </c>
      <c r="H45" s="2" t="s">
        <v>584</v>
      </c>
      <c r="I45" s="2" t="s">
        <v>585</v>
      </c>
      <c r="J45" s="2" t="s">
        <v>586</v>
      </c>
      <c r="K45" s="3">
        <v>188685.46</v>
      </c>
      <c r="L45" s="3">
        <v>182070.1</v>
      </c>
      <c r="M45" s="3">
        <f>L45-K45</f>
      </c>
      <c r="N45" s="4">
        <f>IF(K45=0,0,M45/K45)</f>
      </c>
      <c r="O45" s="2" t="s">
        <v>587</v>
      </c>
      <c r="P45" s="2" t="s">
        <v>588</v>
      </c>
      <c r="Q45" s="2" t="s">
        <v>589</v>
      </c>
      <c r="R45" s="2" t="s">
        <v>590</v>
      </c>
      <c r="S45" s="2" t="s">
        <v>591</v>
      </c>
    </row>
    <row customHeight="true" ht="15" r="46">
      <c r="A46" s="2">
        <v>2023</v>
      </c>
      <c r="B46" s="2">
        <v>3</v>
      </c>
      <c r="C46" s="2" t="s">
        <v>592</v>
      </c>
      <c r="D46" s="2" t="s">
        <v>593</v>
      </c>
      <c r="E46" s="2" t="s">
        <v>594</v>
      </c>
      <c r="F46" s="2" t="s">
        <v>595</v>
      </c>
      <c r="G46" s="2" t="s">
        <v>596</v>
      </c>
      <c r="H46" s="2" t="s">
        <v>597</v>
      </c>
      <c r="I46" s="2" t="s">
        <v>598</v>
      </c>
      <c r="J46" s="2" t="s">
        <v>599</v>
      </c>
      <c r="K46" s="3">
        <v>132970.91</v>
      </c>
      <c r="L46" s="3">
        <v>121374.86</v>
      </c>
      <c r="M46" s="3">
        <f>L46-K46</f>
      </c>
      <c r="N46" s="4">
        <f>IF(K46=0,0,M46/K46)</f>
      </c>
      <c r="O46" s="2" t="s">
        <v>600</v>
      </c>
      <c r="P46" s="2" t="s">
        <v>601</v>
      </c>
      <c r="Q46" s="2" t="s">
        <v>602</v>
      </c>
      <c r="R46" s="2" t="s">
        <v>603</v>
      </c>
      <c r="S46" s="2" t="s">
        <v>604</v>
      </c>
    </row>
    <row customHeight="true" ht="15" r="47">
      <c r="A47" s="2">
        <v>2023</v>
      </c>
      <c r="B47" s="2">
        <v>4</v>
      </c>
      <c r="C47" s="2" t="s">
        <v>605</v>
      </c>
      <c r="D47" s="2" t="s">
        <v>606</v>
      </c>
      <c r="E47" s="2" t="s">
        <v>607</v>
      </c>
      <c r="F47" s="2" t="s">
        <v>608</v>
      </c>
      <c r="G47" s="2" t="s">
        <v>609</v>
      </c>
      <c r="H47" s="2" t="s">
        <v>610</v>
      </c>
      <c r="I47" s="2" t="s">
        <v>611</v>
      </c>
      <c r="J47" s="2" t="s">
        <v>612</v>
      </c>
      <c r="K47" s="3">
        <v>264004.3</v>
      </c>
      <c r="L47" s="3">
        <v>296868.85</v>
      </c>
      <c r="M47" s="3">
        <f>L47-K47</f>
      </c>
      <c r="N47" s="4">
        <f>IF(K47=0,0,M47/K47)</f>
      </c>
      <c r="O47" s="2" t="s">
        <v>613</v>
      </c>
      <c r="P47" s="2" t="s">
        <v>614</v>
      </c>
      <c r="Q47" s="2" t="s">
        <v>615</v>
      </c>
      <c r="R47" s="2" t="s">
        <v>616</v>
      </c>
      <c r="S47" s="2" t="s">
        <v>617</v>
      </c>
    </row>
    <row customHeight="true" ht="15" r="48">
      <c r="A48" s="2">
        <v>2023</v>
      </c>
      <c r="B48" s="2">
        <v>4</v>
      </c>
      <c r="C48" s="2" t="s">
        <v>618</v>
      </c>
      <c r="D48" s="2" t="s">
        <v>619</v>
      </c>
      <c r="E48" s="2" t="s">
        <v>620</v>
      </c>
      <c r="F48" s="2" t="s">
        <v>621</v>
      </c>
      <c r="G48" s="2" t="s">
        <v>622</v>
      </c>
      <c r="H48" s="2" t="s">
        <v>623</v>
      </c>
      <c r="I48" s="2" t="s">
        <v>624</v>
      </c>
      <c r="J48" s="2" t="s">
        <v>625</v>
      </c>
      <c r="K48" s="3">
        <v>408313.13</v>
      </c>
      <c r="L48" s="3">
        <v>382994.75</v>
      </c>
      <c r="M48" s="3">
        <f>L48-K48</f>
      </c>
      <c r="N48" s="4">
        <f>IF(K48=0,0,M48/K48)</f>
      </c>
      <c r="O48" s="2" t="s">
        <v>626</v>
      </c>
      <c r="P48" s="2" t="s">
        <v>627</v>
      </c>
      <c r="Q48" s="2" t="s">
        <v>628</v>
      </c>
      <c r="R48" s="2" t="s">
        <v>629</v>
      </c>
      <c r="S48" s="2" t="s">
        <v>630</v>
      </c>
    </row>
    <row customHeight="true" ht="15" r="49">
      <c r="A49" s="2">
        <v>2023</v>
      </c>
      <c r="B49" s="2">
        <v>4</v>
      </c>
      <c r="C49" s="2" t="s">
        <v>631</v>
      </c>
      <c r="D49" s="2" t="s">
        <v>632</v>
      </c>
      <c r="E49" s="2" t="s">
        <v>633</v>
      </c>
      <c r="F49" s="2" t="s">
        <v>634</v>
      </c>
      <c r="G49" s="2" t="s">
        <v>635</v>
      </c>
      <c r="H49" s="2" t="s">
        <v>636</v>
      </c>
      <c r="I49" s="2" t="s">
        <v>637</v>
      </c>
      <c r="J49" s="2" t="s">
        <v>638</v>
      </c>
      <c r="K49" s="3">
        <v>135043.43</v>
      </c>
      <c r="L49" s="3">
        <v>166573.18</v>
      </c>
      <c r="M49" s="3">
        <f>L49-K49</f>
      </c>
      <c r="N49" s="4">
        <f>IF(K49=0,0,M49/K49)</f>
      </c>
      <c r="O49" s="2" t="s">
        <v>639</v>
      </c>
      <c r="P49" s="2" t="s">
        <v>640</v>
      </c>
      <c r="Q49" s="2" t="s">
        <v>641</v>
      </c>
      <c r="R49" s="2" t="s">
        <v>642</v>
      </c>
      <c r="S49" s="2" t="s">
        <v>643</v>
      </c>
    </row>
    <row customHeight="true" ht="15" r="50">
      <c r="A50" s="2">
        <v>2023</v>
      </c>
      <c r="B50" s="2">
        <v>4</v>
      </c>
      <c r="C50" s="2" t="s">
        <v>644</v>
      </c>
      <c r="D50" s="2" t="s">
        <v>645</v>
      </c>
      <c r="E50" s="2" t="s">
        <v>646</v>
      </c>
      <c r="F50" s="2" t="s">
        <v>647</v>
      </c>
      <c r="G50" s="2" t="s">
        <v>648</v>
      </c>
      <c r="H50" s="2" t="s">
        <v>649</v>
      </c>
      <c r="I50" s="2" t="s">
        <v>650</v>
      </c>
      <c r="J50" s="2" t="s">
        <v>651</v>
      </c>
      <c r="K50" s="3">
        <v>254635.2</v>
      </c>
      <c r="L50" s="3">
        <v>299097.29</v>
      </c>
      <c r="M50" s="3">
        <f>L50-K50</f>
      </c>
      <c r="N50" s="4">
        <f>IF(K50=0,0,M50/K50)</f>
      </c>
      <c r="O50" s="2" t="s">
        <v>652</v>
      </c>
      <c r="P50" s="2" t="s">
        <v>653</v>
      </c>
      <c r="Q50" s="2" t="s">
        <v>654</v>
      </c>
      <c r="R50" s="2" t="s">
        <v>655</v>
      </c>
      <c r="S50" s="2" t="s">
        <v>656</v>
      </c>
    </row>
    <row customHeight="true" ht="15" r="51">
      <c r="A51" s="2">
        <v>2023</v>
      </c>
      <c r="B51" s="2">
        <v>4</v>
      </c>
      <c r="C51" s="2" t="s">
        <v>657</v>
      </c>
      <c r="D51" s="2" t="s">
        <v>658</v>
      </c>
      <c r="E51" s="2" t="s">
        <v>659</v>
      </c>
      <c r="F51" s="2" t="s">
        <v>660</v>
      </c>
      <c r="G51" s="2" t="s">
        <v>661</v>
      </c>
      <c r="H51" s="2" t="s">
        <v>662</v>
      </c>
      <c r="I51" s="2" t="s">
        <v>663</v>
      </c>
      <c r="J51" s="2" t="s">
        <v>664</v>
      </c>
      <c r="K51" s="3">
        <v>175741.81</v>
      </c>
      <c r="L51" s="3">
        <v>163150.81</v>
      </c>
      <c r="M51" s="3">
        <f>L51-K51</f>
      </c>
      <c r="N51" s="4">
        <f>IF(K51=0,0,M51/K51)</f>
      </c>
      <c r="O51" s="2" t="s">
        <v>665</v>
      </c>
      <c r="P51" s="2" t="s">
        <v>666</v>
      </c>
      <c r="Q51" s="2" t="s">
        <v>667</v>
      </c>
      <c r="R51" s="2" t="s">
        <v>668</v>
      </c>
      <c r="S51" s="2" t="s">
        <v>669</v>
      </c>
    </row>
    <row customHeight="true" ht="15" r="52">
      <c r="A52" s="2">
        <v>2023</v>
      </c>
      <c r="B52" s="2">
        <v>4</v>
      </c>
      <c r="C52" s="2" t="s">
        <v>670</v>
      </c>
      <c r="D52" s="2" t="s">
        <v>671</v>
      </c>
      <c r="E52" s="2" t="s">
        <v>672</v>
      </c>
      <c r="F52" s="2" t="s">
        <v>673</v>
      </c>
      <c r="G52" s="2" t="s">
        <v>674</v>
      </c>
      <c r="H52" s="2" t="s">
        <v>675</v>
      </c>
      <c r="I52" s="2" t="s">
        <v>676</v>
      </c>
      <c r="J52" s="2" t="s">
        <v>677</v>
      </c>
      <c r="K52" s="3">
        <v>28636.36</v>
      </c>
      <c r="L52" s="3">
        <v>33709.82</v>
      </c>
      <c r="M52" s="3">
        <f>L52-K52</f>
      </c>
      <c r="N52" s="4">
        <f>IF(K52=0,0,M52/K52)</f>
      </c>
      <c r="O52" s="2" t="s">
        <v>678</v>
      </c>
      <c r="P52" s="2" t="s">
        <v>679</v>
      </c>
      <c r="Q52" s="2" t="s">
        <v>680</v>
      </c>
      <c r="R52" s="2" t="s">
        <v>681</v>
      </c>
      <c r="S52" s="2" t="s">
        <v>682</v>
      </c>
    </row>
    <row customHeight="true" ht="15" r="53">
      <c r="A53" s="2">
        <v>2023</v>
      </c>
      <c r="B53" s="2">
        <v>4</v>
      </c>
      <c r="C53" s="2" t="s">
        <v>683</v>
      </c>
      <c r="D53" s="2" t="s">
        <v>684</v>
      </c>
      <c r="E53" s="2" t="s">
        <v>685</v>
      </c>
      <c r="F53" s="2" t="s">
        <v>686</v>
      </c>
      <c r="G53" s="2" t="s">
        <v>687</v>
      </c>
      <c r="H53" s="2" t="s">
        <v>688</v>
      </c>
      <c r="I53" s="2" t="s">
        <v>689</v>
      </c>
      <c r="J53" s="2" t="s">
        <v>690</v>
      </c>
      <c r="K53" s="3">
        <v>195031.52</v>
      </c>
      <c r="L53" s="3">
        <v>221897.71</v>
      </c>
      <c r="M53" s="3">
        <f>L53-K53</f>
      </c>
      <c r="N53" s="4">
        <f>IF(K53=0,0,M53/K53)</f>
      </c>
      <c r="O53" s="2" t="s">
        <v>691</v>
      </c>
      <c r="P53" s="2" t="s">
        <v>692</v>
      </c>
      <c r="Q53" s="2" t="s">
        <v>693</v>
      </c>
      <c r="R53" s="2" t="s">
        <v>694</v>
      </c>
      <c r="S53" s="2" t="s">
        <v>695</v>
      </c>
    </row>
    <row customHeight="true" ht="15" r="54">
      <c r="A54" s="2">
        <v>2023</v>
      </c>
      <c r="B54" s="2">
        <v>4</v>
      </c>
      <c r="C54" s="2" t="s">
        <v>696</v>
      </c>
      <c r="D54" s="2" t="s">
        <v>697</v>
      </c>
      <c r="E54" s="2" t="s">
        <v>698</v>
      </c>
      <c r="F54" s="2" t="s">
        <v>699</v>
      </c>
      <c r="G54" s="2" t="s">
        <v>700</v>
      </c>
      <c r="H54" s="2" t="s">
        <v>701</v>
      </c>
      <c r="I54" s="2" t="s">
        <v>702</v>
      </c>
      <c r="J54" s="2" t="s">
        <v>703</v>
      </c>
      <c r="K54" s="3">
        <v>284194.65</v>
      </c>
      <c r="L54" s="3">
        <v>334254.85</v>
      </c>
      <c r="M54" s="3">
        <f>L54-K54</f>
      </c>
      <c r="N54" s="4">
        <f>IF(K54=0,0,M54/K54)</f>
      </c>
      <c r="O54" s="2" t="s">
        <v>704</v>
      </c>
      <c r="P54" s="2" t="s">
        <v>705</v>
      </c>
      <c r="Q54" s="2" t="s">
        <v>706</v>
      </c>
      <c r="R54" s="2" t="s">
        <v>707</v>
      </c>
      <c r="S54" s="2" t="s">
        <v>708</v>
      </c>
    </row>
    <row customHeight="true" ht="15" r="55">
      <c r="A55" s="2">
        <v>2023</v>
      </c>
      <c r="B55" s="2">
        <v>4</v>
      </c>
      <c r="C55" s="2" t="s">
        <v>709</v>
      </c>
      <c r="D55" s="2" t="s">
        <v>710</v>
      </c>
      <c r="E55" s="2" t="s">
        <v>711</v>
      </c>
      <c r="F55" s="2" t="s">
        <v>712</v>
      </c>
      <c r="G55" s="2" t="s">
        <v>713</v>
      </c>
      <c r="H55" s="2" t="s">
        <v>714</v>
      </c>
      <c r="I55" s="2" t="s">
        <v>715</v>
      </c>
      <c r="J55" s="2" t="s">
        <v>716</v>
      </c>
      <c r="K55" s="3">
        <v>165894.08</v>
      </c>
      <c r="L55" s="3">
        <v>139623.67</v>
      </c>
      <c r="M55" s="3">
        <f>L55-K55</f>
      </c>
      <c r="N55" s="4">
        <f>IF(K55=0,0,M55/K55)</f>
      </c>
      <c r="O55" s="2" t="s">
        <v>717</v>
      </c>
      <c r="P55" s="2" t="s">
        <v>718</v>
      </c>
      <c r="Q55" s="2" t="s">
        <v>719</v>
      </c>
      <c r="R55" s="2" t="s">
        <v>720</v>
      </c>
      <c r="S55" s="2" t="s">
        <v>721</v>
      </c>
    </row>
    <row customHeight="true" ht="15" r="56">
      <c r="A56" s="2">
        <v>2023</v>
      </c>
      <c r="B56" s="2">
        <v>4</v>
      </c>
      <c r="C56" s="2" t="s">
        <v>722</v>
      </c>
      <c r="D56" s="2" t="s">
        <v>723</v>
      </c>
      <c r="E56" s="2" t="s">
        <v>724</v>
      </c>
      <c r="F56" s="2" t="s">
        <v>725</v>
      </c>
      <c r="G56" s="2" t="s">
        <v>726</v>
      </c>
      <c r="H56" s="2" t="s">
        <v>727</v>
      </c>
      <c r="I56" s="2" t="s">
        <v>728</v>
      </c>
      <c r="J56" s="2" t="s">
        <v>729</v>
      </c>
      <c r="K56" s="3">
        <v>63861.39</v>
      </c>
      <c r="L56" s="3">
        <v>72276.87</v>
      </c>
      <c r="M56" s="3">
        <f>L56-K56</f>
      </c>
      <c r="N56" s="4">
        <f>IF(K56=0,0,M56/K56)</f>
      </c>
      <c r="O56" s="2" t="s">
        <v>730</v>
      </c>
      <c r="P56" s="2" t="s">
        <v>731</v>
      </c>
      <c r="Q56" s="2" t="s">
        <v>732</v>
      </c>
      <c r="R56" s="2" t="s">
        <v>733</v>
      </c>
      <c r="S56" s="2" t="s">
        <v>734</v>
      </c>
    </row>
    <row customHeight="true" ht="15" r="57">
      <c r="A57" s="2">
        <v>2023</v>
      </c>
      <c r="B57" s="2">
        <v>4</v>
      </c>
      <c r="C57" s="2" t="s">
        <v>735</v>
      </c>
      <c r="D57" s="2" t="s">
        <v>736</v>
      </c>
      <c r="E57" s="2" t="s">
        <v>737</v>
      </c>
      <c r="F57" s="2" t="s">
        <v>738</v>
      </c>
      <c r="G57" s="2" t="s">
        <v>739</v>
      </c>
      <c r="H57" s="2" t="s">
        <v>740</v>
      </c>
      <c r="I57" s="2" t="s">
        <v>741</v>
      </c>
      <c r="J57" s="2" t="s">
        <v>742</v>
      </c>
      <c r="K57" s="3">
        <v>30005.88</v>
      </c>
      <c r="L57" s="3">
        <v>36366.81</v>
      </c>
      <c r="M57" s="3">
        <f>L57-K57</f>
      </c>
      <c r="N57" s="4">
        <f>IF(K57=0,0,M57/K57)</f>
      </c>
      <c r="O57" s="2" t="s">
        <v>743</v>
      </c>
      <c r="P57" s="2" t="s">
        <v>744</v>
      </c>
      <c r="Q57" s="2" t="s">
        <v>745</v>
      </c>
      <c r="R57" s="2" t="s">
        <v>746</v>
      </c>
      <c r="S57" s="2" t="s">
        <v>747</v>
      </c>
    </row>
    <row customHeight="true" ht="15" r="58">
      <c r="A58" s="2">
        <v>2023</v>
      </c>
      <c r="B58" s="2">
        <v>4</v>
      </c>
      <c r="C58" s="2" t="s">
        <v>748</v>
      </c>
      <c r="D58" s="2" t="s">
        <v>749</v>
      </c>
      <c r="E58" s="2" t="s">
        <v>750</v>
      </c>
      <c r="F58" s="2" t="s">
        <v>751</v>
      </c>
      <c r="G58" s="2" t="s">
        <v>752</v>
      </c>
      <c r="H58" s="2" t="s">
        <v>753</v>
      </c>
      <c r="I58" s="2" t="s">
        <v>754</v>
      </c>
      <c r="J58" s="2" t="s">
        <v>755</v>
      </c>
      <c r="K58" s="3">
        <v>49810.2</v>
      </c>
      <c r="L58" s="3">
        <v>60736.24</v>
      </c>
      <c r="M58" s="3">
        <f>L58-K58</f>
      </c>
      <c r="N58" s="4">
        <f>IF(K58=0,0,M58/K58)</f>
      </c>
      <c r="O58" s="2" t="s">
        <v>756</v>
      </c>
      <c r="P58" s="2" t="s">
        <v>757</v>
      </c>
      <c r="Q58" s="2" t="s">
        <v>758</v>
      </c>
      <c r="R58" s="2" t="s">
        <v>759</v>
      </c>
      <c r="S58" s="2" t="s">
        <v>760</v>
      </c>
    </row>
    <row customHeight="true" ht="15" r="59">
      <c r="A59" s="2">
        <v>2023</v>
      </c>
      <c r="B59" s="2">
        <v>4</v>
      </c>
      <c r="C59" s="2" t="s">
        <v>761</v>
      </c>
      <c r="D59" s="2" t="s">
        <v>762</v>
      </c>
      <c r="E59" s="2" t="s">
        <v>763</v>
      </c>
      <c r="F59" s="2" t="s">
        <v>764</v>
      </c>
      <c r="G59" s="2" t="s">
        <v>765</v>
      </c>
      <c r="H59" s="2" t="s">
        <v>766</v>
      </c>
      <c r="I59" s="2" t="s">
        <v>767</v>
      </c>
      <c r="J59" s="2" t="s">
        <v>768</v>
      </c>
      <c r="K59" s="3">
        <v>249832.54</v>
      </c>
      <c r="L59" s="3">
        <v>278548.05</v>
      </c>
      <c r="M59" s="3">
        <f>L59-K59</f>
      </c>
      <c r="N59" s="4">
        <f>IF(K59=0,0,M59/K59)</f>
      </c>
      <c r="O59" s="2" t="s">
        <v>769</v>
      </c>
      <c r="P59" s="2" t="s">
        <v>770</v>
      </c>
      <c r="Q59" s="2" t="s">
        <v>771</v>
      </c>
      <c r="R59" s="2" t="s">
        <v>772</v>
      </c>
      <c r="S59" s="2" t="s">
        <v>773</v>
      </c>
    </row>
    <row customHeight="true" ht="15" r="60">
      <c r="A60" s="2">
        <v>2023</v>
      </c>
      <c r="B60" s="2">
        <v>4</v>
      </c>
      <c r="C60" s="2" t="s">
        <v>774</v>
      </c>
      <c r="D60" s="2" t="s">
        <v>775</v>
      </c>
      <c r="E60" s="2" t="s">
        <v>776</v>
      </c>
      <c r="F60" s="2" t="s">
        <v>777</v>
      </c>
      <c r="G60" s="2" t="s">
        <v>778</v>
      </c>
      <c r="H60" s="2" t="s">
        <v>779</v>
      </c>
      <c r="I60" s="2" t="s">
        <v>780</v>
      </c>
      <c r="J60" s="2" t="s">
        <v>781</v>
      </c>
      <c r="K60" s="3">
        <v>429758.56</v>
      </c>
      <c r="L60" s="3">
        <v>429643.29</v>
      </c>
      <c r="M60" s="3">
        <f>L60-K60</f>
      </c>
      <c r="N60" s="4">
        <f>IF(K60=0,0,M60/K60)</f>
      </c>
      <c r="O60" s="2" t="s">
        <v>782</v>
      </c>
      <c r="P60" s="2" t="s">
        <v>783</v>
      </c>
      <c r="Q60" s="2" t="s">
        <v>784</v>
      </c>
      <c r="R60" s="2" t="s">
        <v>785</v>
      </c>
      <c r="S60" s="2" t="s">
        <v>786</v>
      </c>
    </row>
    <row customHeight="true" ht="15" r="61">
      <c r="A61" s="2">
        <v>2023</v>
      </c>
      <c r="B61" s="2">
        <v>4</v>
      </c>
      <c r="C61" s="2" t="s">
        <v>787</v>
      </c>
      <c r="D61" s="2" t="s">
        <v>788</v>
      </c>
      <c r="E61" s="2" t="s">
        <v>789</v>
      </c>
      <c r="F61" s="2" t="s">
        <v>790</v>
      </c>
      <c r="G61" s="2" t="s">
        <v>791</v>
      </c>
      <c r="H61" s="2" t="s">
        <v>792</v>
      </c>
      <c r="I61" s="2" t="s">
        <v>793</v>
      </c>
      <c r="J61" s="2" t="s">
        <v>794</v>
      </c>
      <c r="K61" s="3">
        <v>193926.46</v>
      </c>
      <c r="L61" s="3">
        <v>179355.03</v>
      </c>
      <c r="M61" s="3">
        <f>L61-K61</f>
      </c>
      <c r="N61" s="4">
        <f>IF(K61=0,0,M61/K61)</f>
      </c>
      <c r="O61" s="2" t="s">
        <v>795</v>
      </c>
      <c r="P61" s="2" t="s">
        <v>796</v>
      </c>
      <c r="Q61" s="2" t="s">
        <v>797</v>
      </c>
      <c r="R61" s="2" t="s">
        <v>798</v>
      </c>
      <c r="S61" s="2" t="s">
        <v>799</v>
      </c>
    </row>
    <row customHeight="true" ht="15" r="62">
      <c r="A62" s="2">
        <v>2023</v>
      </c>
      <c r="B62" s="2">
        <v>5</v>
      </c>
      <c r="C62" s="2" t="s">
        <v>800</v>
      </c>
      <c r="D62" s="2" t="s">
        <v>801</v>
      </c>
      <c r="E62" s="2" t="s">
        <v>802</v>
      </c>
      <c r="F62" s="2" t="s">
        <v>803</v>
      </c>
      <c r="G62" s="2" t="s">
        <v>804</v>
      </c>
      <c r="H62" s="2" t="s">
        <v>805</v>
      </c>
      <c r="I62" s="2" t="s">
        <v>806</v>
      </c>
      <c r="J62" s="2" t="s">
        <v>807</v>
      </c>
      <c r="K62" s="3">
        <v>206807.77</v>
      </c>
      <c r="L62" s="3">
        <v>177309.08</v>
      </c>
      <c r="M62" s="3">
        <f>L62-K62</f>
      </c>
      <c r="N62" s="4">
        <f>IF(K62=0,0,M62/K62)</f>
      </c>
      <c r="O62" s="2" t="s">
        <v>808</v>
      </c>
      <c r="P62" s="2" t="s">
        <v>809</v>
      </c>
      <c r="Q62" s="2" t="s">
        <v>810</v>
      </c>
      <c r="R62" s="2" t="s">
        <v>811</v>
      </c>
      <c r="S62" s="2" t="s">
        <v>812</v>
      </c>
    </row>
    <row customHeight="true" ht="15" r="63">
      <c r="A63" s="2">
        <v>2023</v>
      </c>
      <c r="B63" s="2">
        <v>5</v>
      </c>
      <c r="C63" s="2" t="s">
        <v>813</v>
      </c>
      <c r="D63" s="2" t="s">
        <v>814</v>
      </c>
      <c r="E63" s="2" t="s">
        <v>815</v>
      </c>
      <c r="F63" s="2" t="s">
        <v>816</v>
      </c>
      <c r="G63" s="2" t="s">
        <v>817</v>
      </c>
      <c r="H63" s="2" t="s">
        <v>818</v>
      </c>
      <c r="I63" s="2" t="s">
        <v>819</v>
      </c>
      <c r="J63" s="2" t="s">
        <v>820</v>
      </c>
      <c r="K63" s="3">
        <v>49075.77</v>
      </c>
      <c r="L63" s="3">
        <v>45533.25</v>
      </c>
      <c r="M63" s="3">
        <f>L63-K63</f>
      </c>
      <c r="N63" s="4">
        <f>IF(K63=0,0,M63/K63)</f>
      </c>
      <c r="O63" s="2" t="s">
        <v>821</v>
      </c>
      <c r="P63" s="2" t="s">
        <v>822</v>
      </c>
      <c r="Q63" s="2" t="s">
        <v>823</v>
      </c>
      <c r="R63" s="2" t="s">
        <v>824</v>
      </c>
      <c r="S63" s="2" t="s">
        <v>825</v>
      </c>
    </row>
    <row customHeight="true" ht="15" r="64">
      <c r="A64" s="2">
        <v>2023</v>
      </c>
      <c r="B64" s="2">
        <v>5</v>
      </c>
      <c r="C64" s="2" t="s">
        <v>826</v>
      </c>
      <c r="D64" s="2" t="s">
        <v>827</v>
      </c>
      <c r="E64" s="2" t="s">
        <v>828</v>
      </c>
      <c r="F64" s="2" t="s">
        <v>829</v>
      </c>
      <c r="G64" s="2" t="s">
        <v>830</v>
      </c>
      <c r="H64" s="2" t="s">
        <v>831</v>
      </c>
      <c r="I64" s="2" t="s">
        <v>832</v>
      </c>
      <c r="J64" s="2" t="s">
        <v>833</v>
      </c>
      <c r="K64" s="3">
        <v>38339.22</v>
      </c>
      <c r="L64" s="3">
        <v>38740.12</v>
      </c>
      <c r="M64" s="3">
        <f>L64-K64</f>
      </c>
      <c r="N64" s="4">
        <f>IF(K64=0,0,M64/K64)</f>
      </c>
      <c r="O64" s="2" t="s">
        <v>834</v>
      </c>
      <c r="P64" s="2" t="s">
        <v>835</v>
      </c>
      <c r="Q64" s="2" t="s">
        <v>836</v>
      </c>
      <c r="R64" s="2" t="s">
        <v>837</v>
      </c>
      <c r="S64" s="2" t="s">
        <v>838</v>
      </c>
    </row>
    <row customHeight="true" ht="15" r="65">
      <c r="A65" s="2">
        <v>2023</v>
      </c>
      <c r="B65" s="2">
        <v>5</v>
      </c>
      <c r="C65" s="2" t="s">
        <v>839</v>
      </c>
      <c r="D65" s="2" t="s">
        <v>840</v>
      </c>
      <c r="E65" s="2" t="s">
        <v>841</v>
      </c>
      <c r="F65" s="2" t="s">
        <v>842</v>
      </c>
      <c r="G65" s="2" t="s">
        <v>843</v>
      </c>
      <c r="H65" s="2" t="s">
        <v>844</v>
      </c>
      <c r="I65" s="2" t="s">
        <v>845</v>
      </c>
      <c r="J65" s="2" t="s">
        <v>846</v>
      </c>
      <c r="K65" s="3">
        <v>84239.4</v>
      </c>
      <c r="L65" s="3">
        <v>109349.79</v>
      </c>
      <c r="M65" s="3">
        <f>L65-K65</f>
      </c>
      <c r="N65" s="4">
        <f>IF(K65=0,0,M65/K65)</f>
      </c>
      <c r="O65" s="2" t="s">
        <v>847</v>
      </c>
      <c r="P65" s="2" t="s">
        <v>848</v>
      </c>
      <c r="Q65" s="2" t="s">
        <v>849</v>
      </c>
      <c r="R65" s="2" t="s">
        <v>850</v>
      </c>
      <c r="S65" s="2" t="s">
        <v>851</v>
      </c>
    </row>
    <row customHeight="true" ht="15" r="66">
      <c r="A66" s="2">
        <v>2023</v>
      </c>
      <c r="B66" s="2">
        <v>5</v>
      </c>
      <c r="C66" s="2" t="s">
        <v>852</v>
      </c>
      <c r="D66" s="2" t="s">
        <v>853</v>
      </c>
      <c r="E66" s="2" t="s">
        <v>854</v>
      </c>
      <c r="F66" s="2" t="s">
        <v>855</v>
      </c>
      <c r="G66" s="2" t="s">
        <v>856</v>
      </c>
      <c r="H66" s="2" t="s">
        <v>857</v>
      </c>
      <c r="I66" s="2" t="s">
        <v>858</v>
      </c>
      <c r="J66" s="2" t="s">
        <v>859</v>
      </c>
      <c r="K66" s="3">
        <v>262247.03</v>
      </c>
      <c r="L66" s="3">
        <v>234884.92</v>
      </c>
      <c r="M66" s="3">
        <f>L66-K66</f>
      </c>
      <c r="N66" s="4">
        <f>IF(K66=0,0,M66/K66)</f>
      </c>
      <c r="O66" s="2" t="s">
        <v>860</v>
      </c>
      <c r="P66" s="2" t="s">
        <v>861</v>
      </c>
      <c r="Q66" s="2" t="s">
        <v>862</v>
      </c>
      <c r="R66" s="2" t="s">
        <v>863</v>
      </c>
      <c r="S66" s="2" t="s">
        <v>864</v>
      </c>
    </row>
    <row customHeight="true" ht="15" r="67">
      <c r="A67" s="2">
        <v>2023</v>
      </c>
      <c r="B67" s="2">
        <v>5</v>
      </c>
      <c r="C67" s="2" t="s">
        <v>865</v>
      </c>
      <c r="D67" s="2" t="s">
        <v>866</v>
      </c>
      <c r="E67" s="2" t="s">
        <v>867</v>
      </c>
      <c r="F67" s="2" t="s">
        <v>868</v>
      </c>
      <c r="G67" s="2" t="s">
        <v>869</v>
      </c>
      <c r="H67" s="2" t="s">
        <v>870</v>
      </c>
      <c r="I67" s="2" t="s">
        <v>871</v>
      </c>
      <c r="J67" s="2" t="s">
        <v>872</v>
      </c>
      <c r="K67" s="3">
        <v>59874.26</v>
      </c>
      <c r="L67" s="3">
        <v>62719.78</v>
      </c>
      <c r="M67" s="3">
        <f>L67-K67</f>
      </c>
      <c r="N67" s="4">
        <f>IF(K67=0,0,M67/K67)</f>
      </c>
      <c r="O67" s="2" t="s">
        <v>873</v>
      </c>
      <c r="P67" s="2" t="s">
        <v>874</v>
      </c>
      <c r="Q67" s="2" t="s">
        <v>875</v>
      </c>
      <c r="R67" s="2" t="s">
        <v>876</v>
      </c>
      <c r="S67" s="2" t="s">
        <v>877</v>
      </c>
    </row>
    <row customHeight="true" ht="15" r="68">
      <c r="A68" s="2">
        <v>2023</v>
      </c>
      <c r="B68" s="2">
        <v>5</v>
      </c>
      <c r="C68" s="2" t="s">
        <v>878</v>
      </c>
      <c r="D68" s="2" t="s">
        <v>879</v>
      </c>
      <c r="E68" s="2" t="s">
        <v>880</v>
      </c>
      <c r="F68" s="2" t="s">
        <v>881</v>
      </c>
      <c r="G68" s="2" t="s">
        <v>882</v>
      </c>
      <c r="H68" s="2" t="s">
        <v>883</v>
      </c>
      <c r="I68" s="2" t="s">
        <v>884</v>
      </c>
      <c r="J68" s="2" t="s">
        <v>885</v>
      </c>
      <c r="K68" s="3">
        <v>166567.29</v>
      </c>
      <c r="L68" s="3">
        <v>202020.48</v>
      </c>
      <c r="M68" s="3">
        <f>L68-K68</f>
      </c>
      <c r="N68" s="4">
        <f>IF(K68=0,0,M68/K68)</f>
      </c>
      <c r="O68" s="2" t="s">
        <v>886</v>
      </c>
      <c r="P68" s="2" t="s">
        <v>887</v>
      </c>
      <c r="Q68" s="2" t="s">
        <v>888</v>
      </c>
      <c r="R68" s="2" t="s">
        <v>889</v>
      </c>
      <c r="S68" s="2" t="s">
        <v>890</v>
      </c>
    </row>
    <row customHeight="true" ht="15" r="69">
      <c r="A69" s="2">
        <v>2023</v>
      </c>
      <c r="B69" s="2">
        <v>5</v>
      </c>
      <c r="C69" s="2" t="s">
        <v>891</v>
      </c>
      <c r="D69" s="2" t="s">
        <v>892</v>
      </c>
      <c r="E69" s="2" t="s">
        <v>893</v>
      </c>
      <c r="F69" s="2" t="s">
        <v>894</v>
      </c>
      <c r="G69" s="2" t="s">
        <v>895</v>
      </c>
      <c r="H69" s="2" t="s">
        <v>896</v>
      </c>
      <c r="I69" s="2" t="s">
        <v>897</v>
      </c>
      <c r="J69" s="2" t="s">
        <v>898</v>
      </c>
      <c r="K69" s="3">
        <v>132721.55</v>
      </c>
      <c r="L69" s="3">
        <v>130947.49</v>
      </c>
      <c r="M69" s="3">
        <f>L69-K69</f>
      </c>
      <c r="N69" s="4">
        <f>IF(K69=0,0,M69/K69)</f>
      </c>
      <c r="O69" s="2" t="s">
        <v>899</v>
      </c>
      <c r="P69" s="2" t="s">
        <v>900</v>
      </c>
      <c r="Q69" s="2" t="s">
        <v>901</v>
      </c>
      <c r="R69" s="2" t="s">
        <v>902</v>
      </c>
      <c r="S69" s="2" t="s">
        <v>903</v>
      </c>
    </row>
    <row customHeight="true" ht="15" r="70">
      <c r="A70" s="2">
        <v>2023</v>
      </c>
      <c r="B70" s="2">
        <v>5</v>
      </c>
      <c r="C70" s="2" t="s">
        <v>904</v>
      </c>
      <c r="D70" s="2" t="s">
        <v>905</v>
      </c>
      <c r="E70" s="2" t="s">
        <v>906</v>
      </c>
      <c r="F70" s="2" t="s">
        <v>907</v>
      </c>
      <c r="G70" s="2" t="s">
        <v>908</v>
      </c>
      <c r="H70" s="2" t="s">
        <v>909</v>
      </c>
      <c r="I70" s="2" t="s">
        <v>910</v>
      </c>
      <c r="J70" s="2" t="s">
        <v>911</v>
      </c>
      <c r="K70" s="3">
        <v>432347.91</v>
      </c>
      <c r="L70" s="3">
        <v>501136.81</v>
      </c>
      <c r="M70" s="3">
        <f>L70-K70</f>
      </c>
      <c r="N70" s="4">
        <f>IF(K70=0,0,M70/K70)</f>
      </c>
      <c r="O70" s="2" t="s">
        <v>912</v>
      </c>
      <c r="P70" s="2" t="s">
        <v>913</v>
      </c>
      <c r="Q70" s="2" t="s">
        <v>914</v>
      </c>
      <c r="R70" s="2" t="s">
        <v>915</v>
      </c>
      <c r="S70" s="2" t="s">
        <v>916</v>
      </c>
    </row>
    <row customHeight="true" ht="15" r="71">
      <c r="A71" s="2">
        <v>2023</v>
      </c>
      <c r="B71" s="2">
        <v>5</v>
      </c>
      <c r="C71" s="2" t="s">
        <v>917</v>
      </c>
      <c r="D71" s="2" t="s">
        <v>918</v>
      </c>
      <c r="E71" s="2" t="s">
        <v>919</v>
      </c>
      <c r="F71" s="2" t="s">
        <v>920</v>
      </c>
      <c r="G71" s="2" t="s">
        <v>921</v>
      </c>
      <c r="H71" s="2" t="s">
        <v>922</v>
      </c>
      <c r="I71" s="2" t="s">
        <v>923</v>
      </c>
      <c r="J71" s="2" t="s">
        <v>924</v>
      </c>
      <c r="K71" s="3">
        <v>39406.16</v>
      </c>
      <c r="L71" s="3">
        <v>49591.71</v>
      </c>
      <c r="M71" s="3">
        <f>L71-K71</f>
      </c>
      <c r="N71" s="4">
        <f>IF(K71=0,0,M71/K71)</f>
      </c>
      <c r="O71" s="2" t="s">
        <v>925</v>
      </c>
      <c r="P71" s="2" t="s">
        <v>926</v>
      </c>
      <c r="Q71" s="2" t="s">
        <v>927</v>
      </c>
      <c r="R71" s="2" t="s">
        <v>928</v>
      </c>
      <c r="S71" s="2" t="s">
        <v>929</v>
      </c>
    </row>
    <row customHeight="true" ht="15" r="72">
      <c r="A72" s="2">
        <v>2023</v>
      </c>
      <c r="B72" s="2">
        <v>5</v>
      </c>
      <c r="C72" s="2" t="s">
        <v>930</v>
      </c>
      <c r="D72" s="2" t="s">
        <v>931</v>
      </c>
      <c r="E72" s="2" t="s">
        <v>932</v>
      </c>
      <c r="F72" s="2" t="s">
        <v>933</v>
      </c>
      <c r="G72" s="2" t="s">
        <v>934</v>
      </c>
      <c r="H72" s="2" t="s">
        <v>935</v>
      </c>
      <c r="I72" s="2" t="s">
        <v>936</v>
      </c>
      <c r="J72" s="2" t="s">
        <v>937</v>
      </c>
      <c r="K72" s="3">
        <v>358654.75</v>
      </c>
      <c r="L72" s="3">
        <v>354585.29</v>
      </c>
      <c r="M72" s="3">
        <f>L72-K72</f>
      </c>
      <c r="N72" s="4">
        <f>IF(K72=0,0,M72/K72)</f>
      </c>
      <c r="O72" s="2" t="s">
        <v>938</v>
      </c>
      <c r="P72" s="2" t="s">
        <v>939</v>
      </c>
      <c r="Q72" s="2" t="s">
        <v>940</v>
      </c>
      <c r="R72" s="2" t="s">
        <v>941</v>
      </c>
      <c r="S72" s="2" t="s">
        <v>942</v>
      </c>
    </row>
    <row customHeight="true" ht="15" r="73">
      <c r="A73" s="2">
        <v>2023</v>
      </c>
      <c r="B73" s="2">
        <v>5</v>
      </c>
      <c r="C73" s="2" t="s">
        <v>943</v>
      </c>
      <c r="D73" s="2" t="s">
        <v>944</v>
      </c>
      <c r="E73" s="2" t="s">
        <v>945</v>
      </c>
      <c r="F73" s="2" t="s">
        <v>946</v>
      </c>
      <c r="G73" s="2" t="s">
        <v>947</v>
      </c>
      <c r="H73" s="2" t="s">
        <v>948</v>
      </c>
      <c r="I73" s="2" t="s">
        <v>949</v>
      </c>
      <c r="J73" s="2" t="s">
        <v>950</v>
      </c>
      <c r="K73" s="3">
        <v>312822.79</v>
      </c>
      <c r="L73" s="3">
        <v>343995.07</v>
      </c>
      <c r="M73" s="3">
        <f>L73-K73</f>
      </c>
      <c r="N73" s="4">
        <f>IF(K73=0,0,M73/K73)</f>
      </c>
      <c r="O73" s="2" t="s">
        <v>951</v>
      </c>
      <c r="P73" s="2" t="s">
        <v>952</v>
      </c>
      <c r="Q73" s="2" t="s">
        <v>953</v>
      </c>
      <c r="R73" s="2" t="s">
        <v>954</v>
      </c>
      <c r="S73" s="2" t="s">
        <v>955</v>
      </c>
    </row>
    <row customHeight="true" ht="15" r="74">
      <c r="A74" s="2">
        <v>2023</v>
      </c>
      <c r="B74" s="2">
        <v>5</v>
      </c>
      <c r="C74" s="2" t="s">
        <v>956</v>
      </c>
      <c r="D74" s="2" t="s">
        <v>957</v>
      </c>
      <c r="E74" s="2" t="s">
        <v>958</v>
      </c>
      <c r="F74" s="2" t="s">
        <v>959</v>
      </c>
      <c r="G74" s="2" t="s">
        <v>960</v>
      </c>
      <c r="H74" s="2" t="s">
        <v>961</v>
      </c>
      <c r="I74" s="2" t="s">
        <v>962</v>
      </c>
      <c r="J74" s="2" t="s">
        <v>963</v>
      </c>
      <c r="K74" s="3">
        <v>471230.12</v>
      </c>
      <c r="L74" s="3">
        <v>503012.16</v>
      </c>
      <c r="M74" s="3">
        <f>L74-K74</f>
      </c>
      <c r="N74" s="4">
        <f>IF(K74=0,0,M74/K74)</f>
      </c>
      <c r="O74" s="2" t="s">
        <v>964</v>
      </c>
      <c r="P74" s="2" t="s">
        <v>965</v>
      </c>
      <c r="Q74" s="2" t="s">
        <v>966</v>
      </c>
      <c r="R74" s="2" t="s">
        <v>967</v>
      </c>
      <c r="S74" s="2" t="s">
        <v>968</v>
      </c>
    </row>
    <row customHeight="true" ht="15" r="75">
      <c r="A75" s="2">
        <v>2023</v>
      </c>
      <c r="B75" s="2">
        <v>5</v>
      </c>
      <c r="C75" s="2" t="s">
        <v>969</v>
      </c>
      <c r="D75" s="2" t="s">
        <v>970</v>
      </c>
      <c r="E75" s="2" t="s">
        <v>971</v>
      </c>
      <c r="F75" s="2" t="s">
        <v>972</v>
      </c>
      <c r="G75" s="2" t="s">
        <v>973</v>
      </c>
      <c r="H75" s="2" t="s">
        <v>974</v>
      </c>
      <c r="I75" s="2" t="s">
        <v>975</v>
      </c>
      <c r="J75" s="2" t="s">
        <v>976</v>
      </c>
      <c r="K75" s="3">
        <v>39109.66</v>
      </c>
      <c r="L75" s="3">
        <v>36276.91</v>
      </c>
      <c r="M75" s="3">
        <f>L75-K75</f>
      </c>
      <c r="N75" s="4">
        <f>IF(K75=0,0,M75/K75)</f>
      </c>
      <c r="O75" s="2" t="s">
        <v>977</v>
      </c>
      <c r="P75" s="2" t="s">
        <v>978</v>
      </c>
      <c r="Q75" s="2" t="s">
        <v>979</v>
      </c>
      <c r="R75" s="2" t="s">
        <v>980</v>
      </c>
      <c r="S75" s="2" t="s">
        <v>981</v>
      </c>
    </row>
    <row customHeight="true" ht="15" r="76">
      <c r="A76" s="2">
        <v>2023</v>
      </c>
      <c r="B76" s="2">
        <v>5</v>
      </c>
      <c r="C76" s="2" t="s">
        <v>982</v>
      </c>
      <c r="D76" s="2" t="s">
        <v>983</v>
      </c>
      <c r="E76" s="2" t="s">
        <v>984</v>
      </c>
      <c r="F76" s="2" t="s">
        <v>985</v>
      </c>
      <c r="G76" s="2" t="s">
        <v>986</v>
      </c>
      <c r="H76" s="2" t="s">
        <v>987</v>
      </c>
      <c r="I76" s="2" t="s">
        <v>988</v>
      </c>
      <c r="J76" s="2" t="s">
        <v>989</v>
      </c>
      <c r="K76" s="3">
        <v>196538.94</v>
      </c>
      <c r="L76" s="3">
        <v>191342.14</v>
      </c>
      <c r="M76" s="3">
        <f>L76-K76</f>
      </c>
      <c r="N76" s="4">
        <f>IF(K76=0,0,M76/K76)</f>
      </c>
      <c r="O76" s="2" t="s">
        <v>990</v>
      </c>
      <c r="P76" s="2" t="s">
        <v>991</v>
      </c>
      <c r="Q76" s="2" t="s">
        <v>992</v>
      </c>
      <c r="R76" s="2" t="s">
        <v>993</v>
      </c>
      <c r="S76" s="2" t="s">
        <v>994</v>
      </c>
    </row>
    <row customHeight="true" ht="15" r="77">
      <c r="A77" s="2">
        <v>2023</v>
      </c>
      <c r="B77" s="2">
        <v>6</v>
      </c>
      <c r="C77" s="2" t="s">
        <v>995</v>
      </c>
      <c r="D77" s="2" t="s">
        <v>996</v>
      </c>
      <c r="E77" s="2" t="s">
        <v>997</v>
      </c>
      <c r="F77" s="2" t="s">
        <v>998</v>
      </c>
      <c r="G77" s="2" t="s">
        <v>999</v>
      </c>
      <c r="H77" s="2" t="s">
        <v>1000</v>
      </c>
      <c r="I77" s="2" t="s">
        <v>1001</v>
      </c>
      <c r="J77" s="2" t="s">
        <v>1002</v>
      </c>
      <c r="K77" s="3">
        <v>111381.24</v>
      </c>
      <c r="L77" s="3">
        <v>143584.36</v>
      </c>
      <c r="M77" s="3">
        <f>L77-K77</f>
      </c>
      <c r="N77" s="4">
        <f>IF(K77=0,0,M77/K77)</f>
      </c>
      <c r="O77" s="2" t="s">
        <v>1003</v>
      </c>
      <c r="P77" s="2" t="s">
        <v>1004</v>
      </c>
      <c r="Q77" s="2" t="s">
        <v>1005</v>
      </c>
      <c r="R77" s="2" t="s">
        <v>1006</v>
      </c>
      <c r="S77" s="2" t="s">
        <v>1007</v>
      </c>
    </row>
    <row customHeight="true" ht="15" r="78">
      <c r="A78" s="2">
        <v>2023</v>
      </c>
      <c r="B78" s="2">
        <v>6</v>
      </c>
      <c r="C78" s="2" t="s">
        <v>1008</v>
      </c>
      <c r="D78" s="2" t="s">
        <v>1009</v>
      </c>
      <c r="E78" s="2" t="s">
        <v>1010</v>
      </c>
      <c r="F78" s="2" t="s">
        <v>1011</v>
      </c>
      <c r="G78" s="2" t="s">
        <v>1012</v>
      </c>
      <c r="H78" s="2" t="s">
        <v>1013</v>
      </c>
      <c r="I78" s="2" t="s">
        <v>1014</v>
      </c>
      <c r="J78" s="2" t="s">
        <v>1015</v>
      </c>
      <c r="K78" s="3">
        <v>487906.87</v>
      </c>
      <c r="L78" s="3">
        <v>422601.98</v>
      </c>
      <c r="M78" s="3">
        <f>L78-K78</f>
      </c>
      <c r="N78" s="4">
        <f>IF(K78=0,0,M78/K78)</f>
      </c>
      <c r="O78" s="2" t="s">
        <v>1016</v>
      </c>
      <c r="P78" s="2" t="s">
        <v>1017</v>
      </c>
      <c r="Q78" s="2" t="s">
        <v>1018</v>
      </c>
      <c r="R78" s="2" t="s">
        <v>1019</v>
      </c>
      <c r="S78" s="2" t="s">
        <v>1020</v>
      </c>
    </row>
    <row customHeight="true" ht="15" r="79">
      <c r="A79" s="2">
        <v>2023</v>
      </c>
      <c r="B79" s="2">
        <v>6</v>
      </c>
      <c r="C79" s="2" t="s">
        <v>1021</v>
      </c>
      <c r="D79" s="2" t="s">
        <v>1022</v>
      </c>
      <c r="E79" s="2" t="s">
        <v>1023</v>
      </c>
      <c r="F79" s="2" t="s">
        <v>1024</v>
      </c>
      <c r="G79" s="2" t="s">
        <v>1025</v>
      </c>
      <c r="H79" s="2" t="s">
        <v>1026</v>
      </c>
      <c r="I79" s="2" t="s">
        <v>1027</v>
      </c>
      <c r="J79" s="2" t="s">
        <v>1028</v>
      </c>
      <c r="K79" s="3">
        <v>31046.08</v>
      </c>
      <c r="L79" s="3">
        <v>32410.2</v>
      </c>
      <c r="M79" s="3">
        <f>L79-K79</f>
      </c>
      <c r="N79" s="4">
        <f>IF(K79=0,0,M79/K79)</f>
      </c>
      <c r="O79" s="2" t="s">
        <v>1029</v>
      </c>
      <c r="P79" s="2" t="s">
        <v>1030</v>
      </c>
      <c r="Q79" s="2" t="s">
        <v>1031</v>
      </c>
      <c r="R79" s="2" t="s">
        <v>1032</v>
      </c>
      <c r="S79" s="2" t="s">
        <v>1033</v>
      </c>
    </row>
    <row customHeight="true" ht="15" r="80">
      <c r="A80" s="2">
        <v>2023</v>
      </c>
      <c r="B80" s="2">
        <v>6</v>
      </c>
      <c r="C80" s="2" t="s">
        <v>1034</v>
      </c>
      <c r="D80" s="2" t="s">
        <v>1035</v>
      </c>
      <c r="E80" s="2" t="s">
        <v>1036</v>
      </c>
      <c r="F80" s="2" t="s">
        <v>1037</v>
      </c>
      <c r="G80" s="2" t="s">
        <v>1038</v>
      </c>
      <c r="H80" s="2" t="s">
        <v>1039</v>
      </c>
      <c r="I80" s="2" t="s">
        <v>1040</v>
      </c>
      <c r="J80" s="2" t="s">
        <v>1041</v>
      </c>
      <c r="K80" s="3">
        <v>178783.44</v>
      </c>
      <c r="L80" s="3">
        <v>225641.91</v>
      </c>
      <c r="M80" s="3">
        <f>L80-K80</f>
      </c>
      <c r="N80" s="4">
        <f>IF(K80=0,0,M80/K80)</f>
      </c>
      <c r="O80" s="2" t="s">
        <v>1042</v>
      </c>
      <c r="P80" s="2" t="s">
        <v>1043</v>
      </c>
      <c r="Q80" s="2" t="s">
        <v>1044</v>
      </c>
      <c r="R80" s="2" t="s">
        <v>1045</v>
      </c>
      <c r="S80" s="2" t="s">
        <v>1046</v>
      </c>
    </row>
    <row customHeight="true" ht="15" r="81">
      <c r="A81" s="2">
        <v>2023</v>
      </c>
      <c r="B81" s="2">
        <v>6</v>
      </c>
      <c r="C81" s="2" t="s">
        <v>1047</v>
      </c>
      <c r="D81" s="2" t="s">
        <v>1048</v>
      </c>
      <c r="E81" s="2" t="s">
        <v>1049</v>
      </c>
      <c r="F81" s="2" t="s">
        <v>1050</v>
      </c>
      <c r="G81" s="2" t="s">
        <v>1051</v>
      </c>
      <c r="H81" s="2" t="s">
        <v>1052</v>
      </c>
      <c r="I81" s="2" t="s">
        <v>1053</v>
      </c>
      <c r="J81" s="2" t="s">
        <v>1054</v>
      </c>
      <c r="K81" s="3">
        <v>105279.02</v>
      </c>
      <c r="L81" s="3">
        <v>121917.55</v>
      </c>
      <c r="M81" s="3">
        <f>L81-K81</f>
      </c>
      <c r="N81" s="4">
        <f>IF(K81=0,0,M81/K81)</f>
      </c>
      <c r="O81" s="2" t="s">
        <v>1055</v>
      </c>
      <c r="P81" s="2" t="s">
        <v>1056</v>
      </c>
      <c r="Q81" s="2" t="s">
        <v>1057</v>
      </c>
      <c r="R81" s="2" t="s">
        <v>1058</v>
      </c>
      <c r="S81" s="2" t="s">
        <v>1059</v>
      </c>
    </row>
    <row customHeight="true" ht="15" r="82">
      <c r="A82" s="2">
        <v>2023</v>
      </c>
      <c r="B82" s="2">
        <v>6</v>
      </c>
      <c r="C82" s="2" t="s">
        <v>1060</v>
      </c>
      <c r="D82" s="2" t="s">
        <v>1061</v>
      </c>
      <c r="E82" s="2" t="s">
        <v>1062</v>
      </c>
      <c r="F82" s="2" t="s">
        <v>1063</v>
      </c>
      <c r="G82" s="2" t="s">
        <v>1064</v>
      </c>
      <c r="H82" s="2" t="s">
        <v>1065</v>
      </c>
      <c r="I82" s="2" t="s">
        <v>1066</v>
      </c>
      <c r="J82" s="2" t="s">
        <v>1067</v>
      </c>
      <c r="K82" s="3">
        <v>324471.45</v>
      </c>
      <c r="L82" s="3">
        <v>279749.89</v>
      </c>
      <c r="M82" s="3">
        <f>L82-K82</f>
      </c>
      <c r="N82" s="4">
        <f>IF(K82=0,0,M82/K82)</f>
      </c>
      <c r="O82" s="2" t="s">
        <v>1068</v>
      </c>
      <c r="P82" s="2" t="s">
        <v>1069</v>
      </c>
      <c r="Q82" s="2" t="s">
        <v>1070</v>
      </c>
      <c r="R82" s="2" t="s">
        <v>1071</v>
      </c>
      <c r="S82" s="2" t="s">
        <v>1072</v>
      </c>
    </row>
    <row customHeight="true" ht="15" r="83">
      <c r="A83" s="2">
        <v>2023</v>
      </c>
      <c r="B83" s="2">
        <v>6</v>
      </c>
      <c r="C83" s="2" t="s">
        <v>1073</v>
      </c>
      <c r="D83" s="2" t="s">
        <v>1074</v>
      </c>
      <c r="E83" s="2" t="s">
        <v>1075</v>
      </c>
      <c r="F83" s="2" t="s">
        <v>1076</v>
      </c>
      <c r="G83" s="2" t="s">
        <v>1077</v>
      </c>
      <c r="H83" s="2" t="s">
        <v>1078</v>
      </c>
      <c r="I83" s="2" t="s">
        <v>1079</v>
      </c>
      <c r="J83" s="2" t="s">
        <v>1080</v>
      </c>
      <c r="K83" s="3">
        <v>169539.75</v>
      </c>
      <c r="L83" s="3">
        <v>171117.05</v>
      </c>
      <c r="M83" s="3">
        <f>L83-K83</f>
      </c>
      <c r="N83" s="4">
        <f>IF(K83=0,0,M83/K83)</f>
      </c>
      <c r="O83" s="2" t="s">
        <v>1081</v>
      </c>
      <c r="P83" s="2" t="s">
        <v>1082</v>
      </c>
      <c r="Q83" s="2" t="s">
        <v>1083</v>
      </c>
      <c r="R83" s="2" t="s">
        <v>1084</v>
      </c>
      <c r="S83" s="2" t="s">
        <v>1085</v>
      </c>
    </row>
    <row customHeight="true" ht="15" r="84">
      <c r="A84" s="2">
        <v>2023</v>
      </c>
      <c r="B84" s="2">
        <v>6</v>
      </c>
      <c r="C84" s="2" t="s">
        <v>1086</v>
      </c>
      <c r="D84" s="2" t="s">
        <v>1087</v>
      </c>
      <c r="E84" s="2" t="s">
        <v>1088</v>
      </c>
      <c r="F84" s="2" t="s">
        <v>1089</v>
      </c>
      <c r="G84" s="2" t="s">
        <v>1090</v>
      </c>
      <c r="H84" s="2" t="s">
        <v>1091</v>
      </c>
      <c r="I84" s="2" t="s">
        <v>1092</v>
      </c>
      <c r="J84" s="2" t="s">
        <v>1093</v>
      </c>
      <c r="K84" s="3">
        <v>153226.79</v>
      </c>
      <c r="L84" s="3">
        <v>172926.71</v>
      </c>
      <c r="M84" s="3">
        <f>L84-K84</f>
      </c>
      <c r="N84" s="4">
        <f>IF(K84=0,0,M84/K84)</f>
      </c>
      <c r="O84" s="2" t="s">
        <v>1094</v>
      </c>
      <c r="P84" s="2" t="s">
        <v>1095</v>
      </c>
      <c r="Q84" s="2" t="s">
        <v>1096</v>
      </c>
      <c r="R84" s="2" t="s">
        <v>1097</v>
      </c>
      <c r="S84" s="2" t="s">
        <v>1098</v>
      </c>
    </row>
    <row customHeight="true" ht="15" r="85">
      <c r="A85" s="2">
        <v>2023</v>
      </c>
      <c r="B85" s="2">
        <v>6</v>
      </c>
      <c r="C85" s="2" t="s">
        <v>1099</v>
      </c>
      <c r="D85" s="2" t="s">
        <v>1100</v>
      </c>
      <c r="E85" s="2" t="s">
        <v>1101</v>
      </c>
      <c r="F85" s="2" t="s">
        <v>1102</v>
      </c>
      <c r="G85" s="2" t="s">
        <v>1103</v>
      </c>
      <c r="H85" s="2" t="s">
        <v>1104</v>
      </c>
      <c r="I85" s="2" t="s">
        <v>1105</v>
      </c>
      <c r="J85" s="2" t="s">
        <v>1106</v>
      </c>
      <c r="K85" s="3">
        <v>14440.07</v>
      </c>
      <c r="L85" s="3">
        <v>17969.23</v>
      </c>
      <c r="M85" s="3">
        <f>L85-K85</f>
      </c>
      <c r="N85" s="4">
        <f>IF(K85=0,0,M85/K85)</f>
      </c>
      <c r="O85" s="2" t="s">
        <v>1107</v>
      </c>
      <c r="P85" s="2" t="s">
        <v>1108</v>
      </c>
      <c r="Q85" s="2" t="s">
        <v>1109</v>
      </c>
      <c r="R85" s="2" t="s">
        <v>1110</v>
      </c>
      <c r="S85" s="2" t="s">
        <v>1111</v>
      </c>
    </row>
    <row customHeight="true" ht="15" r="86">
      <c r="A86" s="2">
        <v>2023</v>
      </c>
      <c r="B86" s="2">
        <v>6</v>
      </c>
      <c r="C86" s="2" t="s">
        <v>1112</v>
      </c>
      <c r="D86" s="2" t="s">
        <v>1113</v>
      </c>
      <c r="E86" s="2" t="s">
        <v>1114</v>
      </c>
      <c r="F86" s="2" t="s">
        <v>1115</v>
      </c>
      <c r="G86" s="2" t="s">
        <v>1116</v>
      </c>
      <c r="H86" s="2" t="s">
        <v>1117</v>
      </c>
      <c r="I86" s="2" t="s">
        <v>1118</v>
      </c>
      <c r="J86" s="2" t="s">
        <v>1119</v>
      </c>
      <c r="K86" s="3">
        <v>40236.84</v>
      </c>
      <c r="L86" s="3">
        <v>43360.39</v>
      </c>
      <c r="M86" s="3">
        <f>L86-K86</f>
      </c>
      <c r="N86" s="4">
        <f>IF(K86=0,0,M86/K86)</f>
      </c>
      <c r="O86" s="2" t="s">
        <v>1120</v>
      </c>
      <c r="P86" s="2" t="s">
        <v>1121</v>
      </c>
      <c r="Q86" s="2" t="s">
        <v>1122</v>
      </c>
      <c r="R86" s="2" t="s">
        <v>1123</v>
      </c>
      <c r="S86" s="2" t="s">
        <v>1124</v>
      </c>
    </row>
    <row customHeight="true" ht="15" r="87">
      <c r="A87" s="2">
        <v>2023</v>
      </c>
      <c r="B87" s="2">
        <v>6</v>
      </c>
      <c r="C87" s="2" t="s">
        <v>1125</v>
      </c>
      <c r="D87" s="2" t="s">
        <v>1126</v>
      </c>
      <c r="E87" s="2" t="s">
        <v>1127</v>
      </c>
      <c r="F87" s="2" t="s">
        <v>1128</v>
      </c>
      <c r="G87" s="2" t="s">
        <v>1129</v>
      </c>
      <c r="H87" s="2" t="s">
        <v>1130</v>
      </c>
      <c r="I87" s="2" t="s">
        <v>1131</v>
      </c>
      <c r="J87" s="2" t="s">
        <v>1132</v>
      </c>
      <c r="K87" s="3">
        <v>32180.03</v>
      </c>
      <c r="L87" s="3">
        <v>36445.68</v>
      </c>
      <c r="M87" s="3">
        <f>L87-K87</f>
      </c>
      <c r="N87" s="4">
        <f>IF(K87=0,0,M87/K87)</f>
      </c>
      <c r="O87" s="2" t="s">
        <v>1133</v>
      </c>
      <c r="P87" s="2" t="s">
        <v>1134</v>
      </c>
      <c r="Q87" s="2" t="s">
        <v>1135</v>
      </c>
      <c r="R87" s="2" t="s">
        <v>1136</v>
      </c>
      <c r="S87" s="2" t="s">
        <v>1137</v>
      </c>
    </row>
    <row customHeight="true" ht="15" r="88">
      <c r="A88" s="2">
        <v>2023</v>
      </c>
      <c r="B88" s="2">
        <v>6</v>
      </c>
      <c r="C88" s="2" t="s">
        <v>1138</v>
      </c>
      <c r="D88" s="2" t="s">
        <v>1139</v>
      </c>
      <c r="E88" s="2" t="s">
        <v>1140</v>
      </c>
      <c r="F88" s="2" t="s">
        <v>1141</v>
      </c>
      <c r="G88" s="2" t="s">
        <v>1142</v>
      </c>
      <c r="H88" s="2" t="s">
        <v>1143</v>
      </c>
      <c r="I88" s="2" t="s">
        <v>1144</v>
      </c>
      <c r="J88" s="2" t="s">
        <v>1145</v>
      </c>
      <c r="K88" s="3">
        <v>168219.99</v>
      </c>
      <c r="L88" s="3">
        <v>198005.48</v>
      </c>
      <c r="M88" s="3">
        <f>L88-K88</f>
      </c>
      <c r="N88" s="4">
        <f>IF(K88=0,0,M88/K88)</f>
      </c>
      <c r="O88" s="2" t="s">
        <v>1146</v>
      </c>
      <c r="P88" s="2" t="s">
        <v>1147</v>
      </c>
      <c r="Q88" s="2" t="s">
        <v>1148</v>
      </c>
      <c r="R88" s="2" t="s">
        <v>1149</v>
      </c>
      <c r="S88" s="2" t="s">
        <v>1150</v>
      </c>
    </row>
    <row customHeight="true" ht="15" r="89">
      <c r="A89" s="2">
        <v>2023</v>
      </c>
      <c r="B89" s="2">
        <v>6</v>
      </c>
      <c r="C89" s="2" t="s">
        <v>1151</v>
      </c>
      <c r="D89" s="2" t="s">
        <v>1152</v>
      </c>
      <c r="E89" s="2" t="s">
        <v>1153</v>
      </c>
      <c r="F89" s="2" t="s">
        <v>1154</v>
      </c>
      <c r="G89" s="2" t="s">
        <v>1155</v>
      </c>
      <c r="H89" s="2" t="s">
        <v>1156</v>
      </c>
      <c r="I89" s="2" t="s">
        <v>1157</v>
      </c>
      <c r="J89" s="2" t="s">
        <v>1158</v>
      </c>
      <c r="K89" s="3">
        <v>187048.91</v>
      </c>
      <c r="L89" s="3">
        <v>217868.56</v>
      </c>
      <c r="M89" s="3">
        <f>L89-K89</f>
      </c>
      <c r="N89" s="4">
        <f>IF(K89=0,0,M89/K89)</f>
      </c>
      <c r="O89" s="2" t="s">
        <v>1159</v>
      </c>
      <c r="P89" s="2" t="s">
        <v>1160</v>
      </c>
      <c r="Q89" s="2" t="s">
        <v>1161</v>
      </c>
      <c r="R89" s="2" t="s">
        <v>1162</v>
      </c>
      <c r="S89" s="2" t="s">
        <v>1163</v>
      </c>
    </row>
    <row customHeight="true" ht="15" r="90">
      <c r="A90" s="2">
        <v>2023</v>
      </c>
      <c r="B90" s="2">
        <v>6</v>
      </c>
      <c r="C90" s="2" t="s">
        <v>1164</v>
      </c>
      <c r="D90" s="2" t="s">
        <v>1165</v>
      </c>
      <c r="E90" s="2" t="s">
        <v>1166</v>
      </c>
      <c r="F90" s="2" t="s">
        <v>1167</v>
      </c>
      <c r="G90" s="2" t="s">
        <v>1168</v>
      </c>
      <c r="H90" s="2" t="s">
        <v>1169</v>
      </c>
      <c r="I90" s="2" t="s">
        <v>1170</v>
      </c>
      <c r="J90" s="2" t="s">
        <v>1171</v>
      </c>
      <c r="K90" s="3">
        <v>228969.79</v>
      </c>
      <c r="L90" s="3">
        <v>253575.06</v>
      </c>
      <c r="M90" s="3">
        <f>L90-K90</f>
      </c>
      <c r="N90" s="4">
        <f>IF(K90=0,0,M90/K90)</f>
      </c>
      <c r="O90" s="2" t="s">
        <v>1172</v>
      </c>
      <c r="P90" s="2" t="s">
        <v>1173</v>
      </c>
      <c r="Q90" s="2" t="s">
        <v>1174</v>
      </c>
      <c r="R90" s="2" t="s">
        <v>1175</v>
      </c>
      <c r="S90" s="2" t="s">
        <v>1176</v>
      </c>
    </row>
    <row customHeight="true" ht="15" r="91">
      <c r="A91" s="2">
        <v>2023</v>
      </c>
      <c r="B91" s="2">
        <v>6</v>
      </c>
      <c r="C91" s="2" t="s">
        <v>1177</v>
      </c>
      <c r="D91" s="2" t="s">
        <v>1178</v>
      </c>
      <c r="E91" s="2" t="s">
        <v>1179</v>
      </c>
      <c r="F91" s="2" t="s">
        <v>1180</v>
      </c>
      <c r="G91" s="2" t="s">
        <v>1181</v>
      </c>
      <c r="H91" s="2" t="s">
        <v>1182</v>
      </c>
      <c r="I91" s="2" t="s">
        <v>1183</v>
      </c>
      <c r="J91" s="2" t="s">
        <v>1184</v>
      </c>
      <c r="K91" s="3">
        <v>22852.27</v>
      </c>
      <c r="L91" s="3">
        <v>25605.36</v>
      </c>
      <c r="M91" s="3">
        <f>L91-K91</f>
      </c>
      <c r="N91" s="4">
        <f>IF(K91=0,0,M91/K91)</f>
      </c>
      <c r="O91" s="2" t="s">
        <v>1185</v>
      </c>
      <c r="P91" s="2" t="s">
        <v>1186</v>
      </c>
      <c r="Q91" s="2" t="s">
        <v>1187</v>
      </c>
      <c r="R91" s="2" t="s">
        <v>1188</v>
      </c>
      <c r="S91" s="2" t="s">
        <v>1189</v>
      </c>
    </row>
    <row customHeight="true" ht="15" r="92">
      <c r="A92" s="2">
        <v>2023</v>
      </c>
      <c r="B92" s="2">
        <v>7</v>
      </c>
      <c r="C92" s="2" t="s">
        <v>1190</v>
      </c>
      <c r="D92" s="2" t="s">
        <v>1191</v>
      </c>
      <c r="E92" s="2" t="s">
        <v>1192</v>
      </c>
      <c r="F92" s="2" t="s">
        <v>1193</v>
      </c>
      <c r="G92" s="2" t="s">
        <v>1194</v>
      </c>
      <c r="H92" s="2" t="s">
        <v>1195</v>
      </c>
      <c r="I92" s="2" t="s">
        <v>1196</v>
      </c>
      <c r="J92" s="2" t="s">
        <v>1197</v>
      </c>
      <c r="K92" s="3">
        <v>176149.84</v>
      </c>
      <c r="L92" s="3">
        <v>204752.99</v>
      </c>
      <c r="M92" s="3">
        <f>L92-K92</f>
      </c>
      <c r="N92" s="4">
        <f>IF(K92=0,0,M92/K92)</f>
      </c>
      <c r="O92" s="2" t="s">
        <v>1198</v>
      </c>
      <c r="P92" s="2" t="s">
        <v>1199</v>
      </c>
      <c r="Q92" s="2" t="s">
        <v>1200</v>
      </c>
      <c r="R92" s="2" t="s">
        <v>1201</v>
      </c>
      <c r="S92" s="2" t="s">
        <v>1202</v>
      </c>
    </row>
    <row customHeight="true" ht="15" r="93">
      <c r="A93" s="2">
        <v>2023</v>
      </c>
      <c r="B93" s="2">
        <v>7</v>
      </c>
      <c r="C93" s="2" t="s">
        <v>1203</v>
      </c>
      <c r="D93" s="2" t="s">
        <v>1204</v>
      </c>
      <c r="E93" s="2" t="s">
        <v>1205</v>
      </c>
      <c r="F93" s="2" t="s">
        <v>1206</v>
      </c>
      <c r="G93" s="2" t="s">
        <v>1207</v>
      </c>
      <c r="H93" s="2" t="s">
        <v>1208</v>
      </c>
      <c r="I93" s="2" t="s">
        <v>1209</v>
      </c>
      <c r="J93" s="2" t="s">
        <v>1210</v>
      </c>
      <c r="K93" s="3">
        <v>126977.5</v>
      </c>
      <c r="L93" s="3">
        <v>120237.85</v>
      </c>
      <c r="M93" s="3">
        <f>L93-K93</f>
      </c>
      <c r="N93" s="4">
        <f>IF(K93=0,0,M93/K93)</f>
      </c>
      <c r="O93" s="2" t="s">
        <v>1211</v>
      </c>
      <c r="P93" s="2" t="s">
        <v>1212</v>
      </c>
      <c r="Q93" s="2" t="s">
        <v>1213</v>
      </c>
      <c r="R93" s="2" t="s">
        <v>1214</v>
      </c>
      <c r="S93" s="2" t="s">
        <v>1215</v>
      </c>
    </row>
    <row customHeight="true" ht="15" r="94">
      <c r="A94" s="2">
        <v>2023</v>
      </c>
      <c r="B94" s="2">
        <v>7</v>
      </c>
      <c r="C94" s="2" t="s">
        <v>1216</v>
      </c>
      <c r="D94" s="2" t="s">
        <v>1217</v>
      </c>
      <c r="E94" s="2" t="s">
        <v>1218</v>
      </c>
      <c r="F94" s="2" t="s">
        <v>1219</v>
      </c>
      <c r="G94" s="2" t="s">
        <v>1220</v>
      </c>
      <c r="H94" s="2" t="s">
        <v>1221</v>
      </c>
      <c r="I94" s="2" t="s">
        <v>1222</v>
      </c>
      <c r="J94" s="2" t="s">
        <v>1223</v>
      </c>
      <c r="K94" s="3">
        <v>362292.08</v>
      </c>
      <c r="L94" s="3">
        <v>375844.92</v>
      </c>
      <c r="M94" s="3">
        <f>L94-K94</f>
      </c>
      <c r="N94" s="4">
        <f>IF(K94=0,0,M94/K94)</f>
      </c>
      <c r="O94" s="2" t="s">
        <v>1224</v>
      </c>
      <c r="P94" s="2" t="s">
        <v>1225</v>
      </c>
      <c r="Q94" s="2" t="s">
        <v>1226</v>
      </c>
      <c r="R94" s="2" t="s">
        <v>1227</v>
      </c>
      <c r="S94" s="2" t="s">
        <v>1228</v>
      </c>
    </row>
    <row customHeight="true" ht="15" r="95">
      <c r="A95" s="2">
        <v>2023</v>
      </c>
      <c r="B95" s="2">
        <v>7</v>
      </c>
      <c r="C95" s="2" t="s">
        <v>1229</v>
      </c>
      <c r="D95" s="2" t="s">
        <v>1230</v>
      </c>
      <c r="E95" s="2" t="s">
        <v>1231</v>
      </c>
      <c r="F95" s="2" t="s">
        <v>1232</v>
      </c>
      <c r="G95" s="2" t="s">
        <v>1233</v>
      </c>
      <c r="H95" s="2" t="s">
        <v>1234</v>
      </c>
      <c r="I95" s="2" t="s">
        <v>1235</v>
      </c>
      <c r="J95" s="2" t="s">
        <v>1236</v>
      </c>
      <c r="K95" s="3">
        <v>88544.47</v>
      </c>
      <c r="L95" s="3">
        <v>106491.11</v>
      </c>
      <c r="M95" s="3">
        <f>L95-K95</f>
      </c>
      <c r="N95" s="4">
        <f>IF(K95=0,0,M95/K95)</f>
      </c>
      <c r="O95" s="2" t="s">
        <v>1237</v>
      </c>
      <c r="P95" s="2" t="s">
        <v>1238</v>
      </c>
      <c r="Q95" s="2" t="s">
        <v>1239</v>
      </c>
      <c r="R95" s="2" t="s">
        <v>1240</v>
      </c>
      <c r="S95" s="2" t="s">
        <v>1241</v>
      </c>
    </row>
    <row customHeight="true" ht="15" r="96">
      <c r="A96" s="2">
        <v>2023</v>
      </c>
      <c r="B96" s="2">
        <v>7</v>
      </c>
      <c r="C96" s="2" t="s">
        <v>1242</v>
      </c>
      <c r="D96" s="2" t="s">
        <v>1243</v>
      </c>
      <c r="E96" s="2" t="s">
        <v>1244</v>
      </c>
      <c r="F96" s="2" t="s">
        <v>1245</v>
      </c>
      <c r="G96" s="2" t="s">
        <v>1246</v>
      </c>
      <c r="H96" s="2" t="s">
        <v>1247</v>
      </c>
      <c r="I96" s="2" t="s">
        <v>1248</v>
      </c>
      <c r="J96" s="2" t="s">
        <v>1249</v>
      </c>
      <c r="K96" s="3">
        <v>176090.76</v>
      </c>
      <c r="L96" s="3">
        <v>204776.34</v>
      </c>
      <c r="M96" s="3">
        <f>L96-K96</f>
      </c>
      <c r="N96" s="4">
        <f>IF(K96=0,0,M96/K96)</f>
      </c>
      <c r="O96" s="2" t="s">
        <v>1250</v>
      </c>
      <c r="P96" s="2" t="s">
        <v>1251</v>
      </c>
      <c r="Q96" s="2" t="s">
        <v>1252</v>
      </c>
      <c r="R96" s="2" t="s">
        <v>1253</v>
      </c>
      <c r="S96" s="2" t="s">
        <v>1254</v>
      </c>
    </row>
    <row customHeight="true" ht="15" r="97">
      <c r="A97" s="2">
        <v>2023</v>
      </c>
      <c r="B97" s="2">
        <v>7</v>
      </c>
      <c r="C97" s="2" t="s">
        <v>1255</v>
      </c>
      <c r="D97" s="2" t="s">
        <v>1256</v>
      </c>
      <c r="E97" s="2" t="s">
        <v>1257</v>
      </c>
      <c r="F97" s="2" t="s">
        <v>1258</v>
      </c>
      <c r="G97" s="2" t="s">
        <v>1259</v>
      </c>
      <c r="H97" s="2" t="s">
        <v>1260</v>
      </c>
      <c r="I97" s="2" t="s">
        <v>1261</v>
      </c>
      <c r="J97" s="2" t="s">
        <v>1262</v>
      </c>
      <c r="K97" s="3">
        <v>196835.53</v>
      </c>
      <c r="L97" s="3">
        <v>251782.98</v>
      </c>
      <c r="M97" s="3">
        <f>L97-K97</f>
      </c>
      <c r="N97" s="4">
        <f>IF(K97=0,0,M97/K97)</f>
      </c>
      <c r="O97" s="2" t="s">
        <v>1263</v>
      </c>
      <c r="P97" s="2" t="s">
        <v>1264</v>
      </c>
      <c r="Q97" s="2" t="s">
        <v>1265</v>
      </c>
      <c r="R97" s="2" t="s">
        <v>1266</v>
      </c>
      <c r="S97" s="2" t="s">
        <v>1267</v>
      </c>
    </row>
    <row customHeight="true" ht="15" r="98">
      <c r="A98" s="2">
        <v>2023</v>
      </c>
      <c r="B98" s="2">
        <v>7</v>
      </c>
      <c r="C98" s="2" t="s">
        <v>1268</v>
      </c>
      <c r="D98" s="2" t="s">
        <v>1269</v>
      </c>
      <c r="E98" s="2" t="s">
        <v>1270</v>
      </c>
      <c r="F98" s="2" t="s">
        <v>1271</v>
      </c>
      <c r="G98" s="2" t="s">
        <v>1272</v>
      </c>
      <c r="H98" s="2" t="s">
        <v>1273</v>
      </c>
      <c r="I98" s="2" t="s">
        <v>1274</v>
      </c>
      <c r="J98" s="2" t="s">
        <v>1275</v>
      </c>
      <c r="K98" s="3">
        <v>53806.76</v>
      </c>
      <c r="L98" s="3">
        <v>60459.3</v>
      </c>
      <c r="M98" s="3">
        <f>L98-K98</f>
      </c>
      <c r="N98" s="4">
        <f>IF(K98=0,0,M98/K98)</f>
      </c>
      <c r="O98" s="2" t="s">
        <v>1276</v>
      </c>
      <c r="P98" s="2" t="s">
        <v>1277</v>
      </c>
      <c r="Q98" s="2" t="s">
        <v>1278</v>
      </c>
      <c r="R98" s="2" t="s">
        <v>1279</v>
      </c>
      <c r="S98" s="2" t="s">
        <v>1280</v>
      </c>
    </row>
    <row customHeight="true" ht="15" r="99">
      <c r="A99" s="2">
        <v>2023</v>
      </c>
      <c r="B99" s="2">
        <v>7</v>
      </c>
      <c r="C99" s="2" t="s">
        <v>1281</v>
      </c>
      <c r="D99" s="2" t="s">
        <v>1282</v>
      </c>
      <c r="E99" s="2" t="s">
        <v>1283</v>
      </c>
      <c r="F99" s="2" t="s">
        <v>1284</v>
      </c>
      <c r="G99" s="2" t="s">
        <v>1285</v>
      </c>
      <c r="H99" s="2" t="s">
        <v>1286</v>
      </c>
      <c r="I99" s="2" t="s">
        <v>1287</v>
      </c>
      <c r="J99" s="2" t="s">
        <v>1288</v>
      </c>
      <c r="K99" s="3">
        <v>270828.11</v>
      </c>
      <c r="L99" s="3">
        <v>313638.59</v>
      </c>
      <c r="M99" s="3">
        <f>L99-K99</f>
      </c>
      <c r="N99" s="4">
        <f>IF(K99=0,0,M99/K99)</f>
      </c>
      <c r="O99" s="2" t="s">
        <v>1289</v>
      </c>
      <c r="P99" s="2" t="s">
        <v>1290</v>
      </c>
      <c r="Q99" s="2" t="s">
        <v>1291</v>
      </c>
      <c r="R99" s="2" t="s">
        <v>1292</v>
      </c>
      <c r="S99" s="2" t="s">
        <v>1293</v>
      </c>
    </row>
    <row customHeight="true" ht="15" r="100">
      <c r="A100" s="2">
        <v>2023</v>
      </c>
      <c r="B100" s="2">
        <v>7</v>
      </c>
      <c r="C100" s="2" t="s">
        <v>1294</v>
      </c>
      <c r="D100" s="2" t="s">
        <v>1295</v>
      </c>
      <c r="E100" s="2" t="s">
        <v>1296</v>
      </c>
      <c r="F100" s="2" t="s">
        <v>1297</v>
      </c>
      <c r="G100" s="2" t="s">
        <v>1298</v>
      </c>
      <c r="H100" s="2" t="s">
        <v>1299</v>
      </c>
      <c r="I100" s="2" t="s">
        <v>1300</v>
      </c>
      <c r="J100" s="2" t="s">
        <v>1301</v>
      </c>
      <c r="K100" s="3">
        <v>354339.9</v>
      </c>
      <c r="L100" s="3">
        <v>364402.2</v>
      </c>
      <c r="M100" s="3">
        <f>L100-K100</f>
      </c>
      <c r="N100" s="4">
        <f>IF(K100=0,0,M100/K100)</f>
      </c>
      <c r="O100" s="2" t="s">
        <v>1302</v>
      </c>
      <c r="P100" s="2" t="s">
        <v>1303</v>
      </c>
      <c r="Q100" s="2" t="s">
        <v>1304</v>
      </c>
      <c r="R100" s="2" t="s">
        <v>1305</v>
      </c>
      <c r="S100" s="2" t="s">
        <v>1306</v>
      </c>
    </row>
    <row customHeight="true" ht="15" r="101">
      <c r="A101" s="2">
        <v>2023</v>
      </c>
      <c r="B101" s="2">
        <v>7</v>
      </c>
      <c r="C101" s="2" t="s">
        <v>1307</v>
      </c>
      <c r="D101" s="2" t="s">
        <v>1308</v>
      </c>
      <c r="E101" s="2" t="s">
        <v>1309</v>
      </c>
      <c r="F101" s="2" t="s">
        <v>1310</v>
      </c>
      <c r="G101" s="2" t="s">
        <v>1311</v>
      </c>
      <c r="H101" s="2" t="s">
        <v>1312</v>
      </c>
      <c r="I101" s="2" t="s">
        <v>1313</v>
      </c>
      <c r="J101" s="2" t="s">
        <v>1314</v>
      </c>
      <c r="K101" s="3">
        <v>494921.96</v>
      </c>
      <c r="L101" s="3">
        <v>513585.71</v>
      </c>
      <c r="M101" s="3">
        <f>L101-K101</f>
      </c>
      <c r="N101" s="4">
        <f>IF(K101=0,0,M101/K101)</f>
      </c>
      <c r="O101" s="2" t="s">
        <v>1315</v>
      </c>
      <c r="P101" s="2" t="s">
        <v>1316</v>
      </c>
      <c r="Q101" s="2" t="s">
        <v>1317</v>
      </c>
      <c r="R101" s="2" t="s">
        <v>1318</v>
      </c>
      <c r="S101" s="2" t="s">
        <v>1319</v>
      </c>
    </row>
    <row customHeight="true" ht="15" r="102">
      <c r="A102" s="2">
        <v>2023</v>
      </c>
      <c r="B102" s="2">
        <v>7</v>
      </c>
      <c r="C102" s="2" t="s">
        <v>1320</v>
      </c>
      <c r="D102" s="2" t="s">
        <v>1321</v>
      </c>
      <c r="E102" s="2" t="s">
        <v>1322</v>
      </c>
      <c r="F102" s="2" t="s">
        <v>1323</v>
      </c>
      <c r="G102" s="2" t="s">
        <v>1324</v>
      </c>
      <c r="H102" s="2" t="s">
        <v>1325</v>
      </c>
      <c r="I102" s="2" t="s">
        <v>1326</v>
      </c>
      <c r="J102" s="2" t="s">
        <v>1327</v>
      </c>
      <c r="K102" s="3">
        <v>179672.14</v>
      </c>
      <c r="L102" s="3">
        <v>201772.44</v>
      </c>
      <c r="M102" s="3">
        <f>L102-K102</f>
      </c>
      <c r="N102" s="4">
        <f>IF(K102=0,0,M102/K102)</f>
      </c>
      <c r="O102" s="2" t="s">
        <v>1328</v>
      </c>
      <c r="P102" s="2" t="s">
        <v>1329</v>
      </c>
      <c r="Q102" s="2" t="s">
        <v>1330</v>
      </c>
      <c r="R102" s="2" t="s">
        <v>1331</v>
      </c>
      <c r="S102" s="2" t="s">
        <v>1332</v>
      </c>
    </row>
    <row customHeight="true" ht="15" r="103">
      <c r="A103" s="2">
        <v>2023</v>
      </c>
      <c r="B103" s="2">
        <v>7</v>
      </c>
      <c r="C103" s="2" t="s">
        <v>1333</v>
      </c>
      <c r="D103" s="2" t="s">
        <v>1334</v>
      </c>
      <c r="E103" s="2" t="s">
        <v>1335</v>
      </c>
      <c r="F103" s="2" t="s">
        <v>1336</v>
      </c>
      <c r="G103" s="2" t="s">
        <v>1337</v>
      </c>
      <c r="H103" s="2" t="s">
        <v>1338</v>
      </c>
      <c r="I103" s="2" t="s">
        <v>1339</v>
      </c>
      <c r="J103" s="2" t="s">
        <v>1340</v>
      </c>
      <c r="K103" s="3">
        <v>279388.98</v>
      </c>
      <c r="L103" s="3">
        <v>312654.11</v>
      </c>
      <c r="M103" s="3">
        <f>L103-K103</f>
      </c>
      <c r="N103" s="4">
        <f>IF(K103=0,0,M103/K103)</f>
      </c>
      <c r="O103" s="2" t="s">
        <v>1341</v>
      </c>
      <c r="P103" s="2" t="s">
        <v>1342</v>
      </c>
      <c r="Q103" s="2" t="s">
        <v>1343</v>
      </c>
      <c r="R103" s="2" t="s">
        <v>1344</v>
      </c>
      <c r="S103" s="2" t="s">
        <v>1345</v>
      </c>
    </row>
    <row customHeight="true" ht="15" r="104">
      <c r="A104" s="2">
        <v>2023</v>
      </c>
      <c r="B104" s="2">
        <v>7</v>
      </c>
      <c r="C104" s="2" t="s">
        <v>1346</v>
      </c>
      <c r="D104" s="2" t="s">
        <v>1347</v>
      </c>
      <c r="E104" s="2" t="s">
        <v>1348</v>
      </c>
      <c r="F104" s="2" t="s">
        <v>1349</v>
      </c>
      <c r="G104" s="2" t="s">
        <v>1350</v>
      </c>
      <c r="H104" s="2" t="s">
        <v>1351</v>
      </c>
      <c r="I104" s="2" t="s">
        <v>1352</v>
      </c>
      <c r="J104" s="2" t="s">
        <v>1353</v>
      </c>
      <c r="K104" s="3">
        <v>191254.67</v>
      </c>
      <c r="L104" s="3">
        <v>217671.14</v>
      </c>
      <c r="M104" s="3">
        <f>L104-K104</f>
      </c>
      <c r="N104" s="4">
        <f>IF(K104=0,0,M104/K104)</f>
      </c>
      <c r="O104" s="2" t="s">
        <v>1354</v>
      </c>
      <c r="P104" s="2" t="s">
        <v>1355</v>
      </c>
      <c r="Q104" s="2" t="s">
        <v>1356</v>
      </c>
      <c r="R104" s="2" t="s">
        <v>1357</v>
      </c>
      <c r="S104" s="2" t="s">
        <v>1358</v>
      </c>
    </row>
    <row customHeight="true" ht="15" r="105">
      <c r="A105" s="2">
        <v>2023</v>
      </c>
      <c r="B105" s="2">
        <v>7</v>
      </c>
      <c r="C105" s="2" t="s">
        <v>1359</v>
      </c>
      <c r="D105" s="2" t="s">
        <v>1360</v>
      </c>
      <c r="E105" s="2" t="s">
        <v>1361</v>
      </c>
      <c r="F105" s="2" t="s">
        <v>1362</v>
      </c>
      <c r="G105" s="2" t="s">
        <v>1363</v>
      </c>
      <c r="H105" s="2" t="s">
        <v>1364</v>
      </c>
      <c r="I105" s="2" t="s">
        <v>1365</v>
      </c>
      <c r="J105" s="2" t="s">
        <v>1366</v>
      </c>
      <c r="K105" s="3">
        <v>342487.63</v>
      </c>
      <c r="L105" s="3">
        <v>279553.82</v>
      </c>
      <c r="M105" s="3">
        <f>L105-K105</f>
      </c>
      <c r="N105" s="4">
        <f>IF(K105=0,0,M105/K105)</f>
      </c>
      <c r="O105" s="2" t="s">
        <v>1367</v>
      </c>
      <c r="P105" s="2" t="s">
        <v>1368</v>
      </c>
      <c r="Q105" s="2" t="s">
        <v>1369</v>
      </c>
      <c r="R105" s="2" t="s">
        <v>1370</v>
      </c>
      <c r="S105" s="2" t="s">
        <v>1371</v>
      </c>
    </row>
    <row customHeight="true" ht="15" r="106">
      <c r="A106" s="2">
        <v>2023</v>
      </c>
      <c r="B106" s="2">
        <v>7</v>
      </c>
      <c r="C106" s="2" t="s">
        <v>1372</v>
      </c>
      <c r="D106" s="2" t="s">
        <v>1373</v>
      </c>
      <c r="E106" s="2" t="s">
        <v>1374</v>
      </c>
      <c r="F106" s="2" t="s">
        <v>1375</v>
      </c>
      <c r="G106" s="2" t="s">
        <v>1376</v>
      </c>
      <c r="H106" s="2" t="s">
        <v>1377</v>
      </c>
      <c r="I106" s="2" t="s">
        <v>1378</v>
      </c>
      <c r="J106" s="2" t="s">
        <v>1379</v>
      </c>
      <c r="K106" s="3">
        <v>48586.96</v>
      </c>
      <c r="L106" s="3">
        <v>52858.2</v>
      </c>
      <c r="M106" s="3">
        <f>L106-K106</f>
      </c>
      <c r="N106" s="4">
        <f>IF(K106=0,0,M106/K106)</f>
      </c>
      <c r="O106" s="2" t="s">
        <v>1380</v>
      </c>
      <c r="P106" s="2" t="s">
        <v>1381</v>
      </c>
      <c r="Q106" s="2" t="s">
        <v>1382</v>
      </c>
      <c r="R106" s="2" t="s">
        <v>1383</v>
      </c>
      <c r="S106" s="2" t="s">
        <v>1384</v>
      </c>
    </row>
    <row customHeight="true" ht="15" r="107">
      <c r="A107" s="2">
        <v>2023</v>
      </c>
      <c r="B107" s="2">
        <v>8</v>
      </c>
      <c r="C107" s="2" t="s">
        <v>1385</v>
      </c>
      <c r="D107" s="2" t="s">
        <v>1386</v>
      </c>
      <c r="E107" s="2" t="s">
        <v>1387</v>
      </c>
      <c r="F107" s="2" t="s">
        <v>1388</v>
      </c>
      <c r="G107" s="2" t="s">
        <v>1389</v>
      </c>
      <c r="H107" s="2" t="s">
        <v>1390</v>
      </c>
      <c r="I107" s="2" t="s">
        <v>1391</v>
      </c>
      <c r="J107" s="2" t="s">
        <v>1392</v>
      </c>
      <c r="K107" s="3">
        <v>10026.93</v>
      </c>
      <c r="L107" s="3">
        <v>9119.69</v>
      </c>
      <c r="M107" s="3">
        <f>L107-K107</f>
      </c>
      <c r="N107" s="4">
        <f>IF(K107=0,0,M107/K107)</f>
      </c>
      <c r="O107" s="2" t="s">
        <v>1393</v>
      </c>
      <c r="P107" s="2" t="s">
        <v>1394</v>
      </c>
      <c r="Q107" s="2" t="s">
        <v>1395</v>
      </c>
      <c r="R107" s="2" t="s">
        <v>1396</v>
      </c>
      <c r="S107" s="2" t="s">
        <v>1397</v>
      </c>
    </row>
    <row customHeight="true" ht="15" r="108">
      <c r="A108" s="2">
        <v>2023</v>
      </c>
      <c r="B108" s="2">
        <v>8</v>
      </c>
      <c r="C108" s="2" t="s">
        <v>1398</v>
      </c>
      <c r="D108" s="2" t="s">
        <v>1399</v>
      </c>
      <c r="E108" s="2" t="s">
        <v>1400</v>
      </c>
      <c r="F108" s="2" t="s">
        <v>1401</v>
      </c>
      <c r="G108" s="2" t="s">
        <v>1402</v>
      </c>
      <c r="H108" s="2" t="s">
        <v>1403</v>
      </c>
      <c r="I108" s="2" t="s">
        <v>1404</v>
      </c>
      <c r="J108" s="2" t="s">
        <v>1405</v>
      </c>
      <c r="K108" s="3">
        <v>477584.01</v>
      </c>
      <c r="L108" s="3">
        <v>511486.65</v>
      </c>
      <c r="M108" s="3">
        <f>L108-K108</f>
      </c>
      <c r="N108" s="4">
        <f>IF(K108=0,0,M108/K108)</f>
      </c>
      <c r="O108" s="2" t="s">
        <v>1406</v>
      </c>
      <c r="P108" s="2" t="s">
        <v>1407</v>
      </c>
      <c r="Q108" s="2" t="s">
        <v>1408</v>
      </c>
      <c r="R108" s="2" t="s">
        <v>1409</v>
      </c>
      <c r="S108" s="2" t="s">
        <v>1410</v>
      </c>
    </row>
    <row customHeight="true" ht="15" r="109">
      <c r="A109" s="2">
        <v>2023</v>
      </c>
      <c r="B109" s="2">
        <v>8</v>
      </c>
      <c r="C109" s="2" t="s">
        <v>1411</v>
      </c>
      <c r="D109" s="2" t="s">
        <v>1412</v>
      </c>
      <c r="E109" s="2" t="s">
        <v>1413</v>
      </c>
      <c r="F109" s="2" t="s">
        <v>1414</v>
      </c>
      <c r="G109" s="2" t="s">
        <v>1415</v>
      </c>
      <c r="H109" s="2" t="s">
        <v>1416</v>
      </c>
      <c r="I109" s="2" t="s">
        <v>1417</v>
      </c>
      <c r="J109" s="2" t="s">
        <v>1418</v>
      </c>
      <c r="K109" s="3">
        <v>86547.96</v>
      </c>
      <c r="L109" s="3">
        <v>94237.08</v>
      </c>
      <c r="M109" s="3">
        <f>L109-K109</f>
      </c>
      <c r="N109" s="4">
        <f>IF(K109=0,0,M109/K109)</f>
      </c>
      <c r="O109" s="2" t="s">
        <v>1419</v>
      </c>
      <c r="P109" s="2" t="s">
        <v>1420</v>
      </c>
      <c r="Q109" s="2" t="s">
        <v>1421</v>
      </c>
      <c r="R109" s="2" t="s">
        <v>1422</v>
      </c>
      <c r="S109" s="2" t="s">
        <v>1423</v>
      </c>
    </row>
    <row customHeight="true" ht="15" r="110">
      <c r="A110" s="2">
        <v>2023</v>
      </c>
      <c r="B110" s="2">
        <v>8</v>
      </c>
      <c r="C110" s="2" t="s">
        <v>1424</v>
      </c>
      <c r="D110" s="2" t="s">
        <v>1425</v>
      </c>
      <c r="E110" s="2" t="s">
        <v>1426</v>
      </c>
      <c r="F110" s="2" t="s">
        <v>1427</v>
      </c>
      <c r="G110" s="2" t="s">
        <v>1428</v>
      </c>
      <c r="H110" s="2" t="s">
        <v>1429</v>
      </c>
      <c r="I110" s="2" t="s">
        <v>1430</v>
      </c>
      <c r="J110" s="2" t="s">
        <v>1431</v>
      </c>
      <c r="K110" s="3">
        <v>242990.03</v>
      </c>
      <c r="L110" s="3">
        <v>198225.32</v>
      </c>
      <c r="M110" s="3">
        <f>L110-K110</f>
      </c>
      <c r="N110" s="4">
        <f>IF(K110=0,0,M110/K110)</f>
      </c>
      <c r="O110" s="2" t="s">
        <v>1432</v>
      </c>
      <c r="P110" s="2" t="s">
        <v>1433</v>
      </c>
      <c r="Q110" s="2" t="s">
        <v>1434</v>
      </c>
      <c r="R110" s="2" t="s">
        <v>1435</v>
      </c>
      <c r="S110" s="2" t="s">
        <v>1436</v>
      </c>
    </row>
    <row customHeight="true" ht="15" r="111">
      <c r="A111" s="2">
        <v>2023</v>
      </c>
      <c r="B111" s="2">
        <v>8</v>
      </c>
      <c r="C111" s="2" t="s">
        <v>1437</v>
      </c>
      <c r="D111" s="2" t="s">
        <v>1438</v>
      </c>
      <c r="E111" s="2" t="s">
        <v>1439</v>
      </c>
      <c r="F111" s="2" t="s">
        <v>1440</v>
      </c>
      <c r="G111" s="2" t="s">
        <v>1441</v>
      </c>
      <c r="H111" s="2" t="s">
        <v>1442</v>
      </c>
      <c r="I111" s="2" t="s">
        <v>1443</v>
      </c>
      <c r="J111" s="2" t="s">
        <v>1444</v>
      </c>
      <c r="K111" s="3">
        <v>220976.18</v>
      </c>
      <c r="L111" s="3">
        <v>197442.4</v>
      </c>
      <c r="M111" s="3">
        <f>L111-K111</f>
      </c>
      <c r="N111" s="4">
        <f>IF(K111=0,0,M111/K111)</f>
      </c>
      <c r="O111" s="2" t="s">
        <v>1445</v>
      </c>
      <c r="P111" s="2" t="s">
        <v>1446</v>
      </c>
      <c r="Q111" s="2" t="s">
        <v>1447</v>
      </c>
      <c r="R111" s="2" t="s">
        <v>1448</v>
      </c>
      <c r="S111" s="2" t="s">
        <v>1449</v>
      </c>
    </row>
    <row customHeight="true" ht="15" r="112">
      <c r="A112" s="2">
        <v>2023</v>
      </c>
      <c r="B112" s="2">
        <v>8</v>
      </c>
      <c r="C112" s="2" t="s">
        <v>1450</v>
      </c>
      <c r="D112" s="2" t="s">
        <v>1451</v>
      </c>
      <c r="E112" s="2" t="s">
        <v>1452</v>
      </c>
      <c r="F112" s="2" t="s">
        <v>1453</v>
      </c>
      <c r="G112" s="2" t="s">
        <v>1454</v>
      </c>
      <c r="H112" s="2" t="s">
        <v>1455</v>
      </c>
      <c r="I112" s="2" t="s">
        <v>1456</v>
      </c>
      <c r="J112" s="2" t="s">
        <v>1457</v>
      </c>
      <c r="K112" s="3">
        <v>190632.26</v>
      </c>
      <c r="L112" s="3">
        <v>223271.35</v>
      </c>
      <c r="M112" s="3">
        <f>L112-K112</f>
      </c>
      <c r="N112" s="4">
        <f>IF(K112=0,0,M112/K112)</f>
      </c>
      <c r="O112" s="2" t="s">
        <v>1458</v>
      </c>
      <c r="P112" s="2" t="s">
        <v>1459</v>
      </c>
      <c r="Q112" s="2" t="s">
        <v>1460</v>
      </c>
      <c r="R112" s="2" t="s">
        <v>1461</v>
      </c>
      <c r="S112" s="2" t="s">
        <v>1462</v>
      </c>
    </row>
    <row customHeight="true" ht="15" r="113">
      <c r="A113" s="2">
        <v>2023</v>
      </c>
      <c r="B113" s="2">
        <v>8</v>
      </c>
      <c r="C113" s="2" t="s">
        <v>1463</v>
      </c>
      <c r="D113" s="2" t="s">
        <v>1464</v>
      </c>
      <c r="E113" s="2" t="s">
        <v>1465</v>
      </c>
      <c r="F113" s="2" t="s">
        <v>1466</v>
      </c>
      <c r="G113" s="2" t="s">
        <v>1467</v>
      </c>
      <c r="H113" s="2" t="s">
        <v>1468</v>
      </c>
      <c r="I113" s="2" t="s">
        <v>1469</v>
      </c>
      <c r="J113" s="2" t="s">
        <v>1470</v>
      </c>
      <c r="K113" s="3">
        <v>177183.37</v>
      </c>
      <c r="L113" s="3">
        <v>143362.43</v>
      </c>
      <c r="M113" s="3">
        <f>L113-K113</f>
      </c>
      <c r="N113" s="4">
        <f>IF(K113=0,0,M113/K113)</f>
      </c>
      <c r="O113" s="2" t="s">
        <v>1471</v>
      </c>
      <c r="P113" s="2" t="s">
        <v>1472</v>
      </c>
      <c r="Q113" s="2" t="s">
        <v>1473</v>
      </c>
      <c r="R113" s="2" t="s">
        <v>1474</v>
      </c>
      <c r="S113" s="2" t="s">
        <v>1475</v>
      </c>
    </row>
    <row customHeight="true" ht="15" r="114">
      <c r="A114" s="2">
        <v>2023</v>
      </c>
      <c r="B114" s="2">
        <v>8</v>
      </c>
      <c r="C114" s="2" t="s">
        <v>1476</v>
      </c>
      <c r="D114" s="2" t="s">
        <v>1477</v>
      </c>
      <c r="E114" s="2" t="s">
        <v>1478</v>
      </c>
      <c r="F114" s="2" t="s">
        <v>1479</v>
      </c>
      <c r="G114" s="2" t="s">
        <v>1480</v>
      </c>
      <c r="H114" s="2" t="s">
        <v>1481</v>
      </c>
      <c r="I114" s="2" t="s">
        <v>1482</v>
      </c>
      <c r="J114" s="2" t="s">
        <v>1483</v>
      </c>
      <c r="K114" s="3">
        <v>432635.47</v>
      </c>
      <c r="L114" s="3">
        <v>407907.52</v>
      </c>
      <c r="M114" s="3">
        <f>L114-K114</f>
      </c>
      <c r="N114" s="4">
        <f>IF(K114=0,0,M114/K114)</f>
      </c>
      <c r="O114" s="2" t="s">
        <v>1484</v>
      </c>
      <c r="P114" s="2" t="s">
        <v>1485</v>
      </c>
      <c r="Q114" s="2" t="s">
        <v>1486</v>
      </c>
      <c r="R114" s="2" t="s">
        <v>1487</v>
      </c>
      <c r="S114" s="2" t="s">
        <v>1488</v>
      </c>
    </row>
    <row customHeight="true" ht="15" r="115">
      <c r="A115" s="2">
        <v>2023</v>
      </c>
      <c r="B115" s="2">
        <v>8</v>
      </c>
      <c r="C115" s="2" t="s">
        <v>1489</v>
      </c>
      <c r="D115" s="2" t="s">
        <v>1490</v>
      </c>
      <c r="E115" s="2" t="s">
        <v>1491</v>
      </c>
      <c r="F115" s="2" t="s">
        <v>1492</v>
      </c>
      <c r="G115" s="2" t="s">
        <v>1493</v>
      </c>
      <c r="H115" s="2" t="s">
        <v>1494</v>
      </c>
      <c r="I115" s="2" t="s">
        <v>1495</v>
      </c>
      <c r="J115" s="2" t="s">
        <v>1496</v>
      </c>
      <c r="K115" s="3">
        <v>46027.76</v>
      </c>
      <c r="L115" s="3">
        <v>56378.55</v>
      </c>
      <c r="M115" s="3">
        <f>L115-K115</f>
      </c>
      <c r="N115" s="4">
        <f>IF(K115=0,0,M115/K115)</f>
      </c>
      <c r="O115" s="2" t="s">
        <v>1497</v>
      </c>
      <c r="P115" s="2" t="s">
        <v>1498</v>
      </c>
      <c r="Q115" s="2" t="s">
        <v>1499</v>
      </c>
      <c r="R115" s="2" t="s">
        <v>1500</v>
      </c>
      <c r="S115" s="2" t="s">
        <v>1501</v>
      </c>
    </row>
    <row customHeight="true" ht="15" r="116">
      <c r="A116" s="2">
        <v>2023</v>
      </c>
      <c r="B116" s="2">
        <v>8</v>
      </c>
      <c r="C116" s="2" t="s">
        <v>1502</v>
      </c>
      <c r="D116" s="2" t="s">
        <v>1503</v>
      </c>
      <c r="E116" s="2" t="s">
        <v>1504</v>
      </c>
      <c r="F116" s="2" t="s">
        <v>1505</v>
      </c>
      <c r="G116" s="2" t="s">
        <v>1506</v>
      </c>
      <c r="H116" s="2" t="s">
        <v>1507</v>
      </c>
      <c r="I116" s="2" t="s">
        <v>1508</v>
      </c>
      <c r="J116" s="2" t="s">
        <v>1509</v>
      </c>
      <c r="K116" s="3">
        <v>73188.81</v>
      </c>
      <c r="L116" s="3">
        <v>69684.91</v>
      </c>
      <c r="M116" s="3">
        <f>L116-K116</f>
      </c>
      <c r="N116" s="4">
        <f>IF(K116=0,0,M116/K116)</f>
      </c>
      <c r="O116" s="2" t="s">
        <v>1510</v>
      </c>
      <c r="P116" s="2" t="s">
        <v>1511</v>
      </c>
      <c r="Q116" s="2" t="s">
        <v>1512</v>
      </c>
      <c r="R116" s="2" t="s">
        <v>1513</v>
      </c>
      <c r="S116" s="2" t="s">
        <v>1514</v>
      </c>
    </row>
    <row customHeight="true" ht="15" r="117">
      <c r="A117" s="2">
        <v>2023</v>
      </c>
      <c r="B117" s="2">
        <v>8</v>
      </c>
      <c r="C117" s="2" t="s">
        <v>1515</v>
      </c>
      <c r="D117" s="2" t="s">
        <v>1516</v>
      </c>
      <c r="E117" s="2" t="s">
        <v>1517</v>
      </c>
      <c r="F117" s="2" t="s">
        <v>1518</v>
      </c>
      <c r="G117" s="2" t="s">
        <v>1519</v>
      </c>
      <c r="H117" s="2" t="s">
        <v>1520</v>
      </c>
      <c r="I117" s="2" t="s">
        <v>1521</v>
      </c>
      <c r="J117" s="2" t="s">
        <v>1522</v>
      </c>
      <c r="K117" s="3">
        <v>141777.92</v>
      </c>
      <c r="L117" s="3">
        <v>138946.56</v>
      </c>
      <c r="M117" s="3">
        <f>L117-K117</f>
      </c>
      <c r="N117" s="4">
        <f>IF(K117=0,0,M117/K117)</f>
      </c>
      <c r="O117" s="2" t="s">
        <v>1523</v>
      </c>
      <c r="P117" s="2" t="s">
        <v>1524</v>
      </c>
      <c r="Q117" s="2" t="s">
        <v>1525</v>
      </c>
      <c r="R117" s="2" t="s">
        <v>1526</v>
      </c>
      <c r="S117" s="2" t="s">
        <v>1527</v>
      </c>
    </row>
    <row customHeight="true" ht="15" r="118">
      <c r="A118" s="2">
        <v>2023</v>
      </c>
      <c r="B118" s="2">
        <v>8</v>
      </c>
      <c r="C118" s="2" t="s">
        <v>1528</v>
      </c>
      <c r="D118" s="2" t="s">
        <v>1529</v>
      </c>
      <c r="E118" s="2" t="s">
        <v>1530</v>
      </c>
      <c r="F118" s="2" t="s">
        <v>1531</v>
      </c>
      <c r="G118" s="2" t="s">
        <v>1532</v>
      </c>
      <c r="H118" s="2" t="s">
        <v>1533</v>
      </c>
      <c r="I118" s="2" t="s">
        <v>1534</v>
      </c>
      <c r="J118" s="2" t="s">
        <v>1535</v>
      </c>
      <c r="K118" s="3">
        <v>193833.01</v>
      </c>
      <c r="L118" s="3">
        <v>249680.91</v>
      </c>
      <c r="M118" s="3">
        <f>L118-K118</f>
      </c>
      <c r="N118" s="4">
        <f>IF(K118=0,0,M118/K118)</f>
      </c>
      <c r="O118" s="2" t="s">
        <v>1536</v>
      </c>
      <c r="P118" s="2" t="s">
        <v>1537</v>
      </c>
      <c r="Q118" s="2" t="s">
        <v>1538</v>
      </c>
      <c r="R118" s="2" t="s">
        <v>1539</v>
      </c>
      <c r="S118" s="2" t="s">
        <v>1540</v>
      </c>
    </row>
    <row customHeight="true" ht="15" r="119">
      <c r="A119" s="2">
        <v>2023</v>
      </c>
      <c r="B119" s="2">
        <v>8</v>
      </c>
      <c r="C119" s="2" t="s">
        <v>1541</v>
      </c>
      <c r="D119" s="2" t="s">
        <v>1542</v>
      </c>
      <c r="E119" s="2" t="s">
        <v>1543</v>
      </c>
      <c r="F119" s="2" t="s">
        <v>1544</v>
      </c>
      <c r="G119" s="2" t="s">
        <v>1545</v>
      </c>
      <c r="H119" s="2" t="s">
        <v>1546</v>
      </c>
      <c r="I119" s="2" t="s">
        <v>1547</v>
      </c>
      <c r="J119" s="2" t="s">
        <v>1548</v>
      </c>
      <c r="K119" s="3">
        <v>167612.96</v>
      </c>
      <c r="L119" s="3">
        <v>177821.37</v>
      </c>
      <c r="M119" s="3">
        <f>L119-K119</f>
      </c>
      <c r="N119" s="4">
        <f>IF(K119=0,0,M119/K119)</f>
      </c>
      <c r="O119" s="2" t="s">
        <v>1549</v>
      </c>
      <c r="P119" s="2" t="s">
        <v>1550</v>
      </c>
      <c r="Q119" s="2" t="s">
        <v>1551</v>
      </c>
      <c r="R119" s="2" t="s">
        <v>1552</v>
      </c>
      <c r="S119" s="2" t="s">
        <v>1553</v>
      </c>
    </row>
    <row customHeight="true" ht="15" r="120">
      <c r="A120" s="2">
        <v>2023</v>
      </c>
      <c r="B120" s="2">
        <v>8</v>
      </c>
      <c r="C120" s="2" t="s">
        <v>1554</v>
      </c>
      <c r="D120" s="2" t="s">
        <v>1555</v>
      </c>
      <c r="E120" s="2" t="s">
        <v>1556</v>
      </c>
      <c r="F120" s="2" t="s">
        <v>1557</v>
      </c>
      <c r="G120" s="2" t="s">
        <v>1558</v>
      </c>
      <c r="H120" s="2" t="s">
        <v>1559</v>
      </c>
      <c r="I120" s="2" t="s">
        <v>1560</v>
      </c>
      <c r="J120" s="2" t="s">
        <v>1561</v>
      </c>
      <c r="K120" s="3">
        <v>197114.19</v>
      </c>
      <c r="L120" s="3">
        <v>206311.91</v>
      </c>
      <c r="M120" s="3">
        <f>L120-K120</f>
      </c>
      <c r="N120" s="4">
        <f>IF(K120=0,0,M120/K120)</f>
      </c>
      <c r="O120" s="2" t="s">
        <v>1562</v>
      </c>
      <c r="P120" s="2" t="s">
        <v>1563</v>
      </c>
      <c r="Q120" s="2" t="s">
        <v>1564</v>
      </c>
      <c r="R120" s="2" t="s">
        <v>1565</v>
      </c>
      <c r="S120" s="2" t="s">
        <v>1566</v>
      </c>
    </row>
    <row customHeight="true" ht="15" r="121">
      <c r="A121" s="2">
        <v>2023</v>
      </c>
      <c r="B121" s="2">
        <v>8</v>
      </c>
      <c r="C121" s="2" t="s">
        <v>1567</v>
      </c>
      <c r="D121" s="2" t="s">
        <v>1568</v>
      </c>
      <c r="E121" s="2" t="s">
        <v>1569</v>
      </c>
      <c r="F121" s="2" t="s">
        <v>1570</v>
      </c>
      <c r="G121" s="2" t="s">
        <v>1571</v>
      </c>
      <c r="H121" s="2" t="s">
        <v>1572</v>
      </c>
      <c r="I121" s="2" t="s">
        <v>1573</v>
      </c>
      <c r="J121" s="2" t="s">
        <v>1574</v>
      </c>
      <c r="K121" s="3">
        <v>431913.79</v>
      </c>
      <c r="L121" s="3">
        <v>368930.62</v>
      </c>
      <c r="M121" s="3">
        <f>L121-K121</f>
      </c>
      <c r="N121" s="4">
        <f>IF(K121=0,0,M121/K121)</f>
      </c>
      <c r="O121" s="2" t="s">
        <v>1575</v>
      </c>
      <c r="P121" s="2" t="s">
        <v>1576</v>
      </c>
      <c r="Q121" s="2" t="s">
        <v>1577</v>
      </c>
      <c r="R121" s="2" t="s">
        <v>1578</v>
      </c>
      <c r="S121" s="2" t="s">
        <v>1579</v>
      </c>
    </row>
    <row customHeight="true" ht="15" r="122">
      <c r="A122" s="2">
        <v>2023</v>
      </c>
      <c r="B122" s="2">
        <v>9</v>
      </c>
      <c r="C122" s="2" t="s">
        <v>1580</v>
      </c>
      <c r="D122" s="2" t="s">
        <v>1581</v>
      </c>
      <c r="E122" s="2" t="s">
        <v>1582</v>
      </c>
      <c r="F122" s="2" t="s">
        <v>1583</v>
      </c>
      <c r="G122" s="2" t="s">
        <v>1584</v>
      </c>
      <c r="H122" s="2" t="s">
        <v>1585</v>
      </c>
      <c r="I122" s="2" t="s">
        <v>1586</v>
      </c>
      <c r="J122" s="2" t="s">
        <v>1587</v>
      </c>
      <c r="K122" s="3">
        <v>56535.04</v>
      </c>
      <c r="L122" s="3">
        <v>58395.56</v>
      </c>
      <c r="M122" s="3">
        <f>L122-K122</f>
      </c>
      <c r="N122" s="4">
        <f>IF(K122=0,0,M122/K122)</f>
      </c>
      <c r="O122" s="2" t="s">
        <v>1588</v>
      </c>
      <c r="P122" s="2" t="s">
        <v>1589</v>
      </c>
      <c r="Q122" s="2" t="s">
        <v>1590</v>
      </c>
      <c r="R122" s="2" t="s">
        <v>1591</v>
      </c>
      <c r="S122" s="2" t="s">
        <v>1592</v>
      </c>
    </row>
    <row customHeight="true" ht="15" r="123">
      <c r="A123" s="2">
        <v>2023</v>
      </c>
      <c r="B123" s="2">
        <v>9</v>
      </c>
      <c r="C123" s="2" t="s">
        <v>1593</v>
      </c>
      <c r="D123" s="2" t="s">
        <v>1594</v>
      </c>
      <c r="E123" s="2" t="s">
        <v>1595</v>
      </c>
      <c r="F123" s="2" t="s">
        <v>1596</v>
      </c>
      <c r="G123" s="2" t="s">
        <v>1597</v>
      </c>
      <c r="H123" s="2" t="s">
        <v>1598</v>
      </c>
      <c r="I123" s="2" t="s">
        <v>1599</v>
      </c>
      <c r="J123" s="2" t="s">
        <v>1600</v>
      </c>
      <c r="K123" s="3">
        <v>106809.53</v>
      </c>
      <c r="L123" s="3">
        <v>123508.91</v>
      </c>
      <c r="M123" s="3">
        <f>L123-K123</f>
      </c>
      <c r="N123" s="4">
        <f>IF(K123=0,0,M123/K123)</f>
      </c>
      <c r="O123" s="2" t="s">
        <v>1601</v>
      </c>
      <c r="P123" s="2" t="s">
        <v>1602</v>
      </c>
      <c r="Q123" s="2" t="s">
        <v>1603</v>
      </c>
      <c r="R123" s="2" t="s">
        <v>1604</v>
      </c>
      <c r="S123" s="2" t="s">
        <v>1605</v>
      </c>
    </row>
    <row customHeight="true" ht="15" r="124">
      <c r="A124" s="2">
        <v>2023</v>
      </c>
      <c r="B124" s="2">
        <v>9</v>
      </c>
      <c r="C124" s="2" t="s">
        <v>1606</v>
      </c>
      <c r="D124" s="2" t="s">
        <v>1607</v>
      </c>
      <c r="E124" s="2" t="s">
        <v>1608</v>
      </c>
      <c r="F124" s="2" t="s">
        <v>1609</v>
      </c>
      <c r="G124" s="2" t="s">
        <v>1610</v>
      </c>
      <c r="H124" s="2" t="s">
        <v>1611</v>
      </c>
      <c r="I124" s="2" t="s">
        <v>1612</v>
      </c>
      <c r="J124" s="2" t="s">
        <v>1613</v>
      </c>
      <c r="K124" s="3">
        <v>11357.66</v>
      </c>
      <c r="L124" s="3">
        <v>11301.89</v>
      </c>
      <c r="M124" s="3">
        <f>L124-K124</f>
      </c>
      <c r="N124" s="4">
        <f>IF(K124=0,0,M124/K124)</f>
      </c>
      <c r="O124" s="2" t="s">
        <v>1614</v>
      </c>
      <c r="P124" s="2" t="s">
        <v>1615</v>
      </c>
      <c r="Q124" s="2" t="s">
        <v>1616</v>
      </c>
      <c r="R124" s="2" t="s">
        <v>1617</v>
      </c>
      <c r="S124" s="2" t="s">
        <v>1618</v>
      </c>
    </row>
    <row customHeight="true" ht="15" r="125">
      <c r="A125" s="2">
        <v>2023</v>
      </c>
      <c r="B125" s="2">
        <v>9</v>
      </c>
      <c r="C125" s="2" t="s">
        <v>1619</v>
      </c>
      <c r="D125" s="2" t="s">
        <v>1620</v>
      </c>
      <c r="E125" s="2" t="s">
        <v>1621</v>
      </c>
      <c r="F125" s="2" t="s">
        <v>1622</v>
      </c>
      <c r="G125" s="2" t="s">
        <v>1623</v>
      </c>
      <c r="H125" s="2" t="s">
        <v>1624</v>
      </c>
      <c r="I125" s="2" t="s">
        <v>1625</v>
      </c>
      <c r="J125" s="2" t="s">
        <v>1626</v>
      </c>
      <c r="K125" s="3">
        <v>422931.07</v>
      </c>
      <c r="L125" s="3">
        <v>401847.54</v>
      </c>
      <c r="M125" s="3">
        <f>L125-K125</f>
      </c>
      <c r="N125" s="4">
        <f>IF(K125=0,0,M125/K125)</f>
      </c>
      <c r="O125" s="2" t="s">
        <v>1627</v>
      </c>
      <c r="P125" s="2" t="s">
        <v>1628</v>
      </c>
      <c r="Q125" s="2" t="s">
        <v>1629</v>
      </c>
      <c r="R125" s="2" t="s">
        <v>1630</v>
      </c>
      <c r="S125" s="2" t="s">
        <v>1631</v>
      </c>
    </row>
    <row customHeight="true" ht="15" r="126">
      <c r="A126" s="2">
        <v>2023</v>
      </c>
      <c r="B126" s="2">
        <v>9</v>
      </c>
      <c r="C126" s="2" t="s">
        <v>1632</v>
      </c>
      <c r="D126" s="2" t="s">
        <v>1633</v>
      </c>
      <c r="E126" s="2" t="s">
        <v>1634</v>
      </c>
      <c r="F126" s="2" t="s">
        <v>1635</v>
      </c>
      <c r="G126" s="2" t="s">
        <v>1636</v>
      </c>
      <c r="H126" s="2" t="s">
        <v>1637</v>
      </c>
      <c r="I126" s="2" t="s">
        <v>1638</v>
      </c>
      <c r="J126" s="2" t="s">
        <v>1639</v>
      </c>
      <c r="K126" s="3">
        <v>106948.7</v>
      </c>
      <c r="L126" s="3">
        <v>130717.62</v>
      </c>
      <c r="M126" s="3">
        <f>L126-K126</f>
      </c>
      <c r="N126" s="4">
        <f>IF(K126=0,0,M126/K126)</f>
      </c>
      <c r="O126" s="2" t="s">
        <v>1640</v>
      </c>
      <c r="P126" s="2" t="s">
        <v>1641</v>
      </c>
      <c r="Q126" s="2" t="s">
        <v>1642</v>
      </c>
      <c r="R126" s="2" t="s">
        <v>1643</v>
      </c>
      <c r="S126" s="2" t="s">
        <v>1644</v>
      </c>
    </row>
    <row customHeight="true" ht="15" r="127">
      <c r="A127" s="2">
        <v>2023</v>
      </c>
      <c r="B127" s="2">
        <v>9</v>
      </c>
      <c r="C127" s="2" t="s">
        <v>1645</v>
      </c>
      <c r="D127" s="2" t="s">
        <v>1646</v>
      </c>
      <c r="E127" s="2" t="s">
        <v>1647</v>
      </c>
      <c r="F127" s="2" t="s">
        <v>1648</v>
      </c>
      <c r="G127" s="2" t="s">
        <v>1649</v>
      </c>
      <c r="H127" s="2" t="s">
        <v>1650</v>
      </c>
      <c r="I127" s="2" t="s">
        <v>1651</v>
      </c>
      <c r="J127" s="2" t="s">
        <v>1652</v>
      </c>
      <c r="K127" s="3">
        <v>322128.95</v>
      </c>
      <c r="L127" s="3">
        <v>293143.18</v>
      </c>
      <c r="M127" s="3">
        <f>L127-K127</f>
      </c>
      <c r="N127" s="4">
        <f>IF(K127=0,0,M127/K127)</f>
      </c>
      <c r="O127" s="2" t="s">
        <v>1653</v>
      </c>
      <c r="P127" s="2" t="s">
        <v>1654</v>
      </c>
      <c r="Q127" s="2" t="s">
        <v>1655</v>
      </c>
      <c r="R127" s="2" t="s">
        <v>1656</v>
      </c>
      <c r="S127" s="2" t="s">
        <v>1657</v>
      </c>
    </row>
    <row customHeight="true" ht="15" r="128">
      <c r="A128" s="2">
        <v>2023</v>
      </c>
      <c r="B128" s="2">
        <v>9</v>
      </c>
      <c r="C128" s="2" t="s">
        <v>1658</v>
      </c>
      <c r="D128" s="2" t="s">
        <v>1659</v>
      </c>
      <c r="E128" s="2" t="s">
        <v>1660</v>
      </c>
      <c r="F128" s="2" t="s">
        <v>1661</v>
      </c>
      <c r="G128" s="2" t="s">
        <v>1662</v>
      </c>
      <c r="H128" s="2" t="s">
        <v>1663</v>
      </c>
      <c r="I128" s="2" t="s">
        <v>1664</v>
      </c>
      <c r="J128" s="2" t="s">
        <v>1665</v>
      </c>
      <c r="K128" s="3">
        <v>50812.46</v>
      </c>
      <c r="L128" s="3">
        <v>56886.43</v>
      </c>
      <c r="M128" s="3">
        <f>L128-K128</f>
      </c>
      <c r="N128" s="4">
        <f>IF(K128=0,0,M128/K128)</f>
      </c>
      <c r="O128" s="2" t="s">
        <v>1666</v>
      </c>
      <c r="P128" s="2" t="s">
        <v>1667</v>
      </c>
      <c r="Q128" s="2" t="s">
        <v>1668</v>
      </c>
      <c r="R128" s="2" t="s">
        <v>1669</v>
      </c>
      <c r="S128" s="2" t="s">
        <v>1670</v>
      </c>
    </row>
    <row customHeight="true" ht="15" r="129">
      <c r="A129" s="2">
        <v>2023</v>
      </c>
      <c r="B129" s="2">
        <v>9</v>
      </c>
      <c r="C129" s="2" t="s">
        <v>1671</v>
      </c>
      <c r="D129" s="2" t="s">
        <v>1672</v>
      </c>
      <c r="E129" s="2" t="s">
        <v>1673</v>
      </c>
      <c r="F129" s="2" t="s">
        <v>1674</v>
      </c>
      <c r="G129" s="2" t="s">
        <v>1675</v>
      </c>
      <c r="H129" s="2" t="s">
        <v>1676</v>
      </c>
      <c r="I129" s="2" t="s">
        <v>1677</v>
      </c>
      <c r="J129" s="2" t="s">
        <v>1678</v>
      </c>
      <c r="K129" s="3">
        <v>321841.7</v>
      </c>
      <c r="L129" s="3">
        <v>266307.92</v>
      </c>
      <c r="M129" s="3">
        <f>L129-K129</f>
      </c>
      <c r="N129" s="4">
        <f>IF(K129=0,0,M129/K129)</f>
      </c>
      <c r="O129" s="2" t="s">
        <v>1679</v>
      </c>
      <c r="P129" s="2" t="s">
        <v>1680</v>
      </c>
      <c r="Q129" s="2" t="s">
        <v>1681</v>
      </c>
      <c r="R129" s="2" t="s">
        <v>1682</v>
      </c>
      <c r="S129" s="2" t="s">
        <v>1683</v>
      </c>
    </row>
    <row customHeight="true" ht="15" r="130">
      <c r="A130" s="2">
        <v>2023</v>
      </c>
      <c r="B130" s="2">
        <v>9</v>
      </c>
      <c r="C130" s="2" t="s">
        <v>1684</v>
      </c>
      <c r="D130" s="2" t="s">
        <v>1685</v>
      </c>
      <c r="E130" s="2" t="s">
        <v>1686</v>
      </c>
      <c r="F130" s="2" t="s">
        <v>1687</v>
      </c>
      <c r="G130" s="2" t="s">
        <v>1688</v>
      </c>
      <c r="H130" s="2" t="s">
        <v>1689</v>
      </c>
      <c r="I130" s="2" t="s">
        <v>1690</v>
      </c>
      <c r="J130" s="2" t="s">
        <v>1691</v>
      </c>
      <c r="K130" s="3">
        <v>156386.37</v>
      </c>
      <c r="L130" s="3">
        <v>177381.68</v>
      </c>
      <c r="M130" s="3">
        <f>L130-K130</f>
      </c>
      <c r="N130" s="4">
        <f>IF(K130=0,0,M130/K130)</f>
      </c>
      <c r="O130" s="2" t="s">
        <v>1692</v>
      </c>
      <c r="P130" s="2" t="s">
        <v>1693</v>
      </c>
      <c r="Q130" s="2" t="s">
        <v>1694</v>
      </c>
      <c r="R130" s="2" t="s">
        <v>1695</v>
      </c>
      <c r="S130" s="2" t="s">
        <v>1696</v>
      </c>
    </row>
    <row customHeight="true" ht="15" r="131">
      <c r="A131" s="2">
        <v>2023</v>
      </c>
      <c r="B131" s="2">
        <v>9</v>
      </c>
      <c r="C131" s="2" t="s">
        <v>1697</v>
      </c>
      <c r="D131" s="2" t="s">
        <v>1698</v>
      </c>
      <c r="E131" s="2" t="s">
        <v>1699</v>
      </c>
      <c r="F131" s="2" t="s">
        <v>1700</v>
      </c>
      <c r="G131" s="2" t="s">
        <v>1701</v>
      </c>
      <c r="H131" s="2" t="s">
        <v>1702</v>
      </c>
      <c r="I131" s="2" t="s">
        <v>1703</v>
      </c>
      <c r="J131" s="2" t="s">
        <v>1704</v>
      </c>
      <c r="K131" s="3">
        <v>341394.19</v>
      </c>
      <c r="L131" s="3">
        <v>298204.31</v>
      </c>
      <c r="M131" s="3">
        <f>L131-K131</f>
      </c>
      <c r="N131" s="4">
        <f>IF(K131=0,0,M131/K131)</f>
      </c>
      <c r="O131" s="2" t="s">
        <v>1705</v>
      </c>
      <c r="P131" s="2" t="s">
        <v>1706</v>
      </c>
      <c r="Q131" s="2" t="s">
        <v>1707</v>
      </c>
      <c r="R131" s="2" t="s">
        <v>1708</v>
      </c>
      <c r="S131" s="2" t="s">
        <v>1709</v>
      </c>
    </row>
    <row customHeight="true" ht="15" r="132">
      <c r="A132" s="2">
        <v>2023</v>
      </c>
      <c r="B132" s="2">
        <v>9</v>
      </c>
      <c r="C132" s="2" t="s">
        <v>1710</v>
      </c>
      <c r="D132" s="2" t="s">
        <v>1711</v>
      </c>
      <c r="E132" s="2" t="s">
        <v>1712</v>
      </c>
      <c r="F132" s="2" t="s">
        <v>1713</v>
      </c>
      <c r="G132" s="2" t="s">
        <v>1714</v>
      </c>
      <c r="H132" s="2" t="s">
        <v>1715</v>
      </c>
      <c r="I132" s="2" t="s">
        <v>1716</v>
      </c>
      <c r="J132" s="2" t="s">
        <v>1717</v>
      </c>
      <c r="K132" s="3">
        <v>174165.9</v>
      </c>
      <c r="L132" s="3">
        <v>218675.62</v>
      </c>
      <c r="M132" s="3">
        <f>L132-K132</f>
      </c>
      <c r="N132" s="4">
        <f>IF(K132=0,0,M132/K132)</f>
      </c>
      <c r="O132" s="2" t="s">
        <v>1718</v>
      </c>
      <c r="P132" s="2" t="s">
        <v>1719</v>
      </c>
      <c r="Q132" s="2" t="s">
        <v>1720</v>
      </c>
      <c r="R132" s="2" t="s">
        <v>1721</v>
      </c>
      <c r="S132" s="2" t="s">
        <v>1722</v>
      </c>
    </row>
    <row customHeight="true" ht="15" r="133">
      <c r="A133" s="2">
        <v>2023</v>
      </c>
      <c r="B133" s="2">
        <v>9</v>
      </c>
      <c r="C133" s="2" t="s">
        <v>1723</v>
      </c>
      <c r="D133" s="2" t="s">
        <v>1724</v>
      </c>
      <c r="E133" s="2" t="s">
        <v>1725</v>
      </c>
      <c r="F133" s="2" t="s">
        <v>1726</v>
      </c>
      <c r="G133" s="2" t="s">
        <v>1727</v>
      </c>
      <c r="H133" s="2" t="s">
        <v>1728</v>
      </c>
      <c r="I133" s="2" t="s">
        <v>1729</v>
      </c>
      <c r="J133" s="2" t="s">
        <v>1730</v>
      </c>
      <c r="K133" s="3">
        <v>112848.83</v>
      </c>
      <c r="L133" s="3">
        <v>127408.99</v>
      </c>
      <c r="M133" s="3">
        <f>L133-K133</f>
      </c>
      <c r="N133" s="4">
        <f>IF(K133=0,0,M133/K133)</f>
      </c>
      <c r="O133" s="2" t="s">
        <v>1731</v>
      </c>
      <c r="P133" s="2" t="s">
        <v>1732</v>
      </c>
      <c r="Q133" s="2" t="s">
        <v>1733</v>
      </c>
      <c r="R133" s="2" t="s">
        <v>1734</v>
      </c>
      <c r="S133" s="2" t="s">
        <v>1735</v>
      </c>
    </row>
    <row customHeight="true" ht="15" r="134">
      <c r="A134" s="2">
        <v>2023</v>
      </c>
      <c r="B134" s="2">
        <v>9</v>
      </c>
      <c r="C134" s="2" t="s">
        <v>1736</v>
      </c>
      <c r="D134" s="2" t="s">
        <v>1737</v>
      </c>
      <c r="E134" s="2" t="s">
        <v>1738</v>
      </c>
      <c r="F134" s="2" t="s">
        <v>1739</v>
      </c>
      <c r="G134" s="2" t="s">
        <v>1740</v>
      </c>
      <c r="H134" s="2" t="s">
        <v>1741</v>
      </c>
      <c r="I134" s="2" t="s">
        <v>1742</v>
      </c>
      <c r="J134" s="2" t="s">
        <v>1743</v>
      </c>
      <c r="K134" s="3">
        <v>162583.87</v>
      </c>
      <c r="L134" s="3">
        <v>207924.91</v>
      </c>
      <c r="M134" s="3">
        <f>L134-K134</f>
      </c>
      <c r="N134" s="4">
        <f>IF(K134=0,0,M134/K134)</f>
      </c>
      <c r="O134" s="2" t="s">
        <v>1744</v>
      </c>
      <c r="P134" s="2" t="s">
        <v>1745</v>
      </c>
      <c r="Q134" s="2" t="s">
        <v>1746</v>
      </c>
      <c r="R134" s="2" t="s">
        <v>1747</v>
      </c>
      <c r="S134" s="2" t="s">
        <v>1748</v>
      </c>
    </row>
    <row customHeight="true" ht="15" r="135">
      <c r="A135" s="2">
        <v>2023</v>
      </c>
      <c r="B135" s="2">
        <v>9</v>
      </c>
      <c r="C135" s="2" t="s">
        <v>1749</v>
      </c>
      <c r="D135" s="2" t="s">
        <v>1750</v>
      </c>
      <c r="E135" s="2" t="s">
        <v>1751</v>
      </c>
      <c r="F135" s="2" t="s">
        <v>1752</v>
      </c>
      <c r="G135" s="2" t="s">
        <v>1753</v>
      </c>
      <c r="H135" s="2" t="s">
        <v>1754</v>
      </c>
      <c r="I135" s="2" t="s">
        <v>1755</v>
      </c>
      <c r="J135" s="2" t="s">
        <v>1756</v>
      </c>
      <c r="K135" s="3">
        <v>118927.1</v>
      </c>
      <c r="L135" s="3">
        <v>112869.22</v>
      </c>
      <c r="M135" s="3">
        <f>L135-K135</f>
      </c>
      <c r="N135" s="4">
        <f>IF(K135=0,0,M135/K135)</f>
      </c>
      <c r="O135" s="2" t="s">
        <v>1757</v>
      </c>
      <c r="P135" s="2" t="s">
        <v>1758</v>
      </c>
      <c r="Q135" s="2" t="s">
        <v>1759</v>
      </c>
      <c r="R135" s="2" t="s">
        <v>1760</v>
      </c>
      <c r="S135" s="2" t="s">
        <v>1761</v>
      </c>
    </row>
    <row customHeight="true" ht="15" r="136">
      <c r="A136" s="2">
        <v>2023</v>
      </c>
      <c r="B136" s="2">
        <v>9</v>
      </c>
      <c r="C136" s="2" t="s">
        <v>1762</v>
      </c>
      <c r="D136" s="2" t="s">
        <v>1763</v>
      </c>
      <c r="E136" s="2" t="s">
        <v>1764</v>
      </c>
      <c r="F136" s="2" t="s">
        <v>1765</v>
      </c>
      <c r="G136" s="2" t="s">
        <v>1766</v>
      </c>
      <c r="H136" s="2" t="s">
        <v>1767</v>
      </c>
      <c r="I136" s="2" t="s">
        <v>1768</v>
      </c>
      <c r="J136" s="2" t="s">
        <v>1769</v>
      </c>
      <c r="K136" s="3">
        <v>350925.83</v>
      </c>
      <c r="L136" s="3">
        <v>283089.14</v>
      </c>
      <c r="M136" s="3">
        <f>L136-K136</f>
      </c>
      <c r="N136" s="4">
        <f>IF(K136=0,0,M136/K136)</f>
      </c>
      <c r="O136" s="2" t="s">
        <v>1770</v>
      </c>
      <c r="P136" s="2" t="s">
        <v>1771</v>
      </c>
      <c r="Q136" s="2" t="s">
        <v>1772</v>
      </c>
      <c r="R136" s="2" t="s">
        <v>1773</v>
      </c>
      <c r="S136" s="2" t="s">
        <v>1774</v>
      </c>
    </row>
    <row customHeight="true" ht="15" r="137">
      <c r="A137" s="2">
        <v>2023</v>
      </c>
      <c r="B137" s="2">
        <v>10</v>
      </c>
      <c r="C137" s="2" t="s">
        <v>1775</v>
      </c>
      <c r="D137" s="2" t="s">
        <v>1776</v>
      </c>
      <c r="E137" s="2" t="s">
        <v>1777</v>
      </c>
      <c r="F137" s="2" t="s">
        <v>1778</v>
      </c>
      <c r="G137" s="2" t="s">
        <v>1779</v>
      </c>
      <c r="H137" s="2" t="s">
        <v>1780</v>
      </c>
      <c r="I137" s="2" t="s">
        <v>1781</v>
      </c>
      <c r="J137" s="2" t="s">
        <v>1782</v>
      </c>
      <c r="K137" s="3">
        <v>88951.36</v>
      </c>
      <c r="L137" s="3">
        <v>115310.42</v>
      </c>
      <c r="M137" s="3">
        <f>L137-K137</f>
      </c>
      <c r="N137" s="4">
        <f>IF(K137=0,0,M137/K137)</f>
      </c>
      <c r="O137" s="2" t="s">
        <v>1783</v>
      </c>
      <c r="P137" s="2" t="s">
        <v>1784</v>
      </c>
      <c r="Q137" s="2" t="s">
        <v>1785</v>
      </c>
      <c r="R137" s="2" t="s">
        <v>1786</v>
      </c>
      <c r="S137" s="2" t="s">
        <v>1787</v>
      </c>
    </row>
    <row customHeight="true" ht="15" r="138">
      <c r="A138" s="2">
        <v>2023</v>
      </c>
      <c r="B138" s="2">
        <v>10</v>
      </c>
      <c r="C138" s="2" t="s">
        <v>1788</v>
      </c>
      <c r="D138" s="2" t="s">
        <v>1789</v>
      </c>
      <c r="E138" s="2" t="s">
        <v>1790</v>
      </c>
      <c r="F138" s="2" t="s">
        <v>1791</v>
      </c>
      <c r="G138" s="2" t="s">
        <v>1792</v>
      </c>
      <c r="H138" s="2" t="s">
        <v>1793</v>
      </c>
      <c r="I138" s="2" t="s">
        <v>1794</v>
      </c>
      <c r="J138" s="2" t="s">
        <v>1795</v>
      </c>
      <c r="K138" s="3">
        <v>48485.65</v>
      </c>
      <c r="L138" s="3">
        <v>45391.49</v>
      </c>
      <c r="M138" s="3">
        <f>L138-K138</f>
      </c>
      <c r="N138" s="4">
        <f>IF(K138=0,0,M138/K138)</f>
      </c>
      <c r="O138" s="2" t="s">
        <v>1796</v>
      </c>
      <c r="P138" s="2" t="s">
        <v>1797</v>
      </c>
      <c r="Q138" s="2" t="s">
        <v>1798</v>
      </c>
      <c r="R138" s="2" t="s">
        <v>1799</v>
      </c>
      <c r="S138" s="2" t="s">
        <v>1800</v>
      </c>
    </row>
    <row customHeight="true" ht="15" r="139">
      <c r="A139" s="2">
        <v>2023</v>
      </c>
      <c r="B139" s="2">
        <v>10</v>
      </c>
      <c r="C139" s="2" t="s">
        <v>1801</v>
      </c>
      <c r="D139" s="2" t="s">
        <v>1802</v>
      </c>
      <c r="E139" s="2" t="s">
        <v>1803</v>
      </c>
      <c r="F139" s="2" t="s">
        <v>1804</v>
      </c>
      <c r="G139" s="2" t="s">
        <v>1805</v>
      </c>
      <c r="H139" s="2" t="s">
        <v>1806</v>
      </c>
      <c r="I139" s="2" t="s">
        <v>1807</v>
      </c>
      <c r="J139" s="2" t="s">
        <v>1808</v>
      </c>
      <c r="K139" s="3">
        <v>223377.16</v>
      </c>
      <c r="L139" s="3">
        <v>244400.04</v>
      </c>
      <c r="M139" s="3">
        <f>L139-K139</f>
      </c>
      <c r="N139" s="4">
        <f>IF(K139=0,0,M139/K139)</f>
      </c>
      <c r="O139" s="2" t="s">
        <v>1809</v>
      </c>
      <c r="P139" s="2" t="s">
        <v>1810</v>
      </c>
      <c r="Q139" s="2" t="s">
        <v>1811</v>
      </c>
      <c r="R139" s="2" t="s">
        <v>1812</v>
      </c>
      <c r="S139" s="2" t="s">
        <v>1813</v>
      </c>
    </row>
    <row customHeight="true" ht="15" r="140">
      <c r="A140" s="2">
        <v>2023</v>
      </c>
      <c r="B140" s="2">
        <v>10</v>
      </c>
      <c r="C140" s="2" t="s">
        <v>1814</v>
      </c>
      <c r="D140" s="2" t="s">
        <v>1815</v>
      </c>
      <c r="E140" s="2" t="s">
        <v>1816</v>
      </c>
      <c r="F140" s="2" t="s">
        <v>1817</v>
      </c>
      <c r="G140" s="2" t="s">
        <v>1818</v>
      </c>
      <c r="H140" s="2" t="s">
        <v>1819</v>
      </c>
      <c r="I140" s="2" t="s">
        <v>1820</v>
      </c>
      <c r="J140" s="2" t="s">
        <v>1821</v>
      </c>
      <c r="K140" s="3">
        <v>107884.33</v>
      </c>
      <c r="L140" s="3">
        <v>98904.07</v>
      </c>
      <c r="M140" s="3">
        <f>L140-K140</f>
      </c>
      <c r="N140" s="4">
        <f>IF(K140=0,0,M140/K140)</f>
      </c>
      <c r="O140" s="2" t="s">
        <v>1822</v>
      </c>
      <c r="P140" s="2" t="s">
        <v>1823</v>
      </c>
      <c r="Q140" s="2" t="s">
        <v>1824</v>
      </c>
      <c r="R140" s="2" t="s">
        <v>1825</v>
      </c>
      <c r="S140" s="2" t="s">
        <v>1826</v>
      </c>
    </row>
    <row customHeight="true" ht="15" r="141">
      <c r="A141" s="2">
        <v>2023</v>
      </c>
      <c r="B141" s="2">
        <v>10</v>
      </c>
      <c r="C141" s="2" t="s">
        <v>1827</v>
      </c>
      <c r="D141" s="2" t="s">
        <v>1828</v>
      </c>
      <c r="E141" s="2" t="s">
        <v>1829</v>
      </c>
      <c r="F141" s="2" t="s">
        <v>1830</v>
      </c>
      <c r="G141" s="2" t="s">
        <v>1831</v>
      </c>
      <c r="H141" s="2" t="s">
        <v>1832</v>
      </c>
      <c r="I141" s="2" t="s">
        <v>1833</v>
      </c>
      <c r="J141" s="2" t="s">
        <v>1834</v>
      </c>
      <c r="K141" s="3">
        <v>343103.51</v>
      </c>
      <c r="L141" s="3">
        <v>410928.93</v>
      </c>
      <c r="M141" s="3">
        <f>L141-K141</f>
      </c>
      <c r="N141" s="4">
        <f>IF(K141=0,0,M141/K141)</f>
      </c>
      <c r="O141" s="2" t="s">
        <v>1835</v>
      </c>
      <c r="P141" s="2" t="s">
        <v>1836</v>
      </c>
      <c r="Q141" s="2" t="s">
        <v>1837</v>
      </c>
      <c r="R141" s="2" t="s">
        <v>1838</v>
      </c>
      <c r="S141" s="2" t="s">
        <v>1839</v>
      </c>
    </row>
    <row customHeight="true" ht="15" r="142">
      <c r="A142" s="2">
        <v>2023</v>
      </c>
      <c r="B142" s="2">
        <v>10</v>
      </c>
      <c r="C142" s="2" t="s">
        <v>1840</v>
      </c>
      <c r="D142" s="2" t="s">
        <v>1841</v>
      </c>
      <c r="E142" s="2" t="s">
        <v>1842</v>
      </c>
      <c r="F142" s="2" t="s">
        <v>1843</v>
      </c>
      <c r="G142" s="2" t="s">
        <v>1844</v>
      </c>
      <c r="H142" s="2" t="s">
        <v>1845</v>
      </c>
      <c r="I142" s="2" t="s">
        <v>1846</v>
      </c>
      <c r="J142" s="2" t="s">
        <v>1847</v>
      </c>
      <c r="K142" s="3">
        <v>417305.64</v>
      </c>
      <c r="L142" s="3">
        <v>424220.78</v>
      </c>
      <c r="M142" s="3">
        <f>L142-K142</f>
      </c>
      <c r="N142" s="4">
        <f>IF(K142=0,0,M142/K142)</f>
      </c>
      <c r="O142" s="2" t="s">
        <v>1848</v>
      </c>
      <c r="P142" s="2" t="s">
        <v>1849</v>
      </c>
      <c r="Q142" s="2" t="s">
        <v>1850</v>
      </c>
      <c r="R142" s="2" t="s">
        <v>1851</v>
      </c>
      <c r="S142" s="2" t="s">
        <v>1852</v>
      </c>
    </row>
    <row customHeight="true" ht="15" r="143">
      <c r="A143" s="2">
        <v>2023</v>
      </c>
      <c r="B143" s="2">
        <v>10</v>
      </c>
      <c r="C143" s="2" t="s">
        <v>1853</v>
      </c>
      <c r="D143" s="2" t="s">
        <v>1854</v>
      </c>
      <c r="E143" s="2" t="s">
        <v>1855</v>
      </c>
      <c r="F143" s="2" t="s">
        <v>1856</v>
      </c>
      <c r="G143" s="2" t="s">
        <v>1857</v>
      </c>
      <c r="H143" s="2" t="s">
        <v>1858</v>
      </c>
      <c r="I143" s="2" t="s">
        <v>1859</v>
      </c>
      <c r="J143" s="2" t="s">
        <v>1860</v>
      </c>
      <c r="K143" s="3">
        <v>144308.75</v>
      </c>
      <c r="L143" s="3">
        <v>159940.28</v>
      </c>
      <c r="M143" s="3">
        <f>L143-K143</f>
      </c>
      <c r="N143" s="4">
        <f>IF(K143=0,0,M143/K143)</f>
      </c>
      <c r="O143" s="2" t="s">
        <v>1861</v>
      </c>
      <c r="P143" s="2" t="s">
        <v>1862</v>
      </c>
      <c r="Q143" s="2" t="s">
        <v>1863</v>
      </c>
      <c r="R143" s="2" t="s">
        <v>1864</v>
      </c>
      <c r="S143" s="2" t="s">
        <v>1865</v>
      </c>
    </row>
    <row customHeight="true" ht="15" r="144">
      <c r="A144" s="2">
        <v>2023</v>
      </c>
      <c r="B144" s="2">
        <v>10</v>
      </c>
      <c r="C144" s="2" t="s">
        <v>1866</v>
      </c>
      <c r="D144" s="2" t="s">
        <v>1867</v>
      </c>
      <c r="E144" s="2" t="s">
        <v>1868</v>
      </c>
      <c r="F144" s="2" t="s">
        <v>1869</v>
      </c>
      <c r="G144" s="2" t="s">
        <v>1870</v>
      </c>
      <c r="H144" s="2" t="s">
        <v>1871</v>
      </c>
      <c r="I144" s="2" t="s">
        <v>1872</v>
      </c>
      <c r="J144" s="2" t="s">
        <v>1873</v>
      </c>
      <c r="K144" s="3">
        <v>63303.62</v>
      </c>
      <c r="L144" s="3">
        <v>71209.71</v>
      </c>
      <c r="M144" s="3">
        <f>L144-K144</f>
      </c>
      <c r="N144" s="4">
        <f>IF(K144=0,0,M144/K144)</f>
      </c>
      <c r="O144" s="2" t="s">
        <v>1874</v>
      </c>
      <c r="P144" s="2" t="s">
        <v>1875</v>
      </c>
      <c r="Q144" s="2" t="s">
        <v>1876</v>
      </c>
      <c r="R144" s="2" t="s">
        <v>1877</v>
      </c>
      <c r="S144" s="2" t="s">
        <v>1878</v>
      </c>
    </row>
    <row customHeight="true" ht="15" r="145">
      <c r="A145" s="2">
        <v>2023</v>
      </c>
      <c r="B145" s="2">
        <v>10</v>
      </c>
      <c r="C145" s="2" t="s">
        <v>1879</v>
      </c>
      <c r="D145" s="2" t="s">
        <v>1880</v>
      </c>
      <c r="E145" s="2" t="s">
        <v>1881</v>
      </c>
      <c r="F145" s="2" t="s">
        <v>1882</v>
      </c>
      <c r="G145" s="2" t="s">
        <v>1883</v>
      </c>
      <c r="H145" s="2" t="s">
        <v>1884</v>
      </c>
      <c r="I145" s="2" t="s">
        <v>1885</v>
      </c>
      <c r="J145" s="2" t="s">
        <v>1886</v>
      </c>
      <c r="K145" s="3">
        <v>18110.49</v>
      </c>
      <c r="L145" s="3">
        <v>22257.68</v>
      </c>
      <c r="M145" s="3">
        <f>L145-K145</f>
      </c>
      <c r="N145" s="4">
        <f>IF(K145=0,0,M145/K145)</f>
      </c>
      <c r="O145" s="2" t="s">
        <v>1887</v>
      </c>
      <c r="P145" s="2" t="s">
        <v>1888</v>
      </c>
      <c r="Q145" s="2" t="s">
        <v>1889</v>
      </c>
      <c r="R145" s="2" t="s">
        <v>1890</v>
      </c>
      <c r="S145" s="2" t="s">
        <v>1891</v>
      </c>
    </row>
    <row customHeight="true" ht="15" r="146">
      <c r="A146" s="2">
        <v>2023</v>
      </c>
      <c r="B146" s="2">
        <v>10</v>
      </c>
      <c r="C146" s="2" t="s">
        <v>1892</v>
      </c>
      <c r="D146" s="2" t="s">
        <v>1893</v>
      </c>
      <c r="E146" s="2" t="s">
        <v>1894</v>
      </c>
      <c r="F146" s="2" t="s">
        <v>1895</v>
      </c>
      <c r="G146" s="2" t="s">
        <v>1896</v>
      </c>
      <c r="H146" s="2" t="s">
        <v>1897</v>
      </c>
      <c r="I146" s="2" t="s">
        <v>1898</v>
      </c>
      <c r="J146" s="2" t="s">
        <v>1899</v>
      </c>
      <c r="K146" s="3">
        <v>84867.71</v>
      </c>
      <c r="L146" s="3">
        <v>86136.3</v>
      </c>
      <c r="M146" s="3">
        <f>L146-K146</f>
      </c>
      <c r="N146" s="4">
        <f>IF(K146=0,0,M146/K146)</f>
      </c>
      <c r="O146" s="2" t="s">
        <v>1900</v>
      </c>
      <c r="P146" s="2" t="s">
        <v>1901</v>
      </c>
      <c r="Q146" s="2" t="s">
        <v>1902</v>
      </c>
      <c r="R146" s="2" t="s">
        <v>1903</v>
      </c>
      <c r="S146" s="2" t="s">
        <v>1904</v>
      </c>
    </row>
    <row customHeight="true" ht="15" r="147">
      <c r="A147" s="2">
        <v>2023</v>
      </c>
      <c r="B147" s="2">
        <v>10</v>
      </c>
      <c r="C147" s="2" t="s">
        <v>1905</v>
      </c>
      <c r="D147" s="2" t="s">
        <v>1906</v>
      </c>
      <c r="E147" s="2" t="s">
        <v>1907</v>
      </c>
      <c r="F147" s="2" t="s">
        <v>1908</v>
      </c>
      <c r="G147" s="2" t="s">
        <v>1909</v>
      </c>
      <c r="H147" s="2" t="s">
        <v>1910</v>
      </c>
      <c r="I147" s="2" t="s">
        <v>1911</v>
      </c>
      <c r="J147" s="2" t="s">
        <v>1912</v>
      </c>
      <c r="K147" s="3">
        <v>192390.68</v>
      </c>
      <c r="L147" s="3">
        <v>220673.31</v>
      </c>
      <c r="M147" s="3">
        <f>L147-K147</f>
      </c>
      <c r="N147" s="4">
        <f>IF(K147=0,0,M147/K147)</f>
      </c>
      <c r="O147" s="2" t="s">
        <v>1913</v>
      </c>
      <c r="P147" s="2" t="s">
        <v>1914</v>
      </c>
      <c r="Q147" s="2" t="s">
        <v>1915</v>
      </c>
      <c r="R147" s="2" t="s">
        <v>1916</v>
      </c>
      <c r="S147" s="2" t="s">
        <v>1917</v>
      </c>
    </row>
    <row customHeight="true" ht="15" r="148">
      <c r="A148" s="2">
        <v>2023</v>
      </c>
      <c r="B148" s="2">
        <v>10</v>
      </c>
      <c r="C148" s="2" t="s">
        <v>1918</v>
      </c>
      <c r="D148" s="2" t="s">
        <v>1919</v>
      </c>
      <c r="E148" s="2" t="s">
        <v>1920</v>
      </c>
      <c r="F148" s="2" t="s">
        <v>1921</v>
      </c>
      <c r="G148" s="2" t="s">
        <v>1922</v>
      </c>
      <c r="H148" s="2" t="s">
        <v>1923</v>
      </c>
      <c r="I148" s="2" t="s">
        <v>1924</v>
      </c>
      <c r="J148" s="2" t="s">
        <v>1925</v>
      </c>
      <c r="K148" s="3">
        <v>39806.81</v>
      </c>
      <c r="L148" s="3">
        <v>36521.67</v>
      </c>
      <c r="M148" s="3">
        <f>L148-K148</f>
      </c>
      <c r="N148" s="4">
        <f>IF(K148=0,0,M148/K148)</f>
      </c>
      <c r="O148" s="2" t="s">
        <v>1926</v>
      </c>
      <c r="P148" s="2" t="s">
        <v>1927</v>
      </c>
      <c r="Q148" s="2" t="s">
        <v>1928</v>
      </c>
      <c r="R148" s="2" t="s">
        <v>1929</v>
      </c>
      <c r="S148" s="2" t="s">
        <v>1930</v>
      </c>
    </row>
    <row customHeight="true" ht="15" r="149">
      <c r="A149" s="2">
        <v>2023</v>
      </c>
      <c r="B149" s="2">
        <v>10</v>
      </c>
      <c r="C149" s="2" t="s">
        <v>1931</v>
      </c>
      <c r="D149" s="2" t="s">
        <v>1932</v>
      </c>
      <c r="E149" s="2" t="s">
        <v>1933</v>
      </c>
      <c r="F149" s="2" t="s">
        <v>1934</v>
      </c>
      <c r="G149" s="2" t="s">
        <v>1935</v>
      </c>
      <c r="H149" s="2" t="s">
        <v>1936</v>
      </c>
      <c r="I149" s="2" t="s">
        <v>1937</v>
      </c>
      <c r="J149" s="2" t="s">
        <v>1938</v>
      </c>
      <c r="K149" s="3">
        <v>15643.79</v>
      </c>
      <c r="L149" s="3">
        <v>19630.62</v>
      </c>
      <c r="M149" s="3">
        <f>L149-K149</f>
      </c>
      <c r="N149" s="4">
        <f>IF(K149=0,0,M149/K149)</f>
      </c>
      <c r="O149" s="2" t="s">
        <v>1939</v>
      </c>
      <c r="P149" s="2" t="s">
        <v>1940</v>
      </c>
      <c r="Q149" s="2" t="s">
        <v>1941</v>
      </c>
      <c r="R149" s="2" t="s">
        <v>1942</v>
      </c>
      <c r="S149" s="2" t="s">
        <v>1943</v>
      </c>
    </row>
    <row customHeight="true" ht="15" r="150">
      <c r="A150" s="2">
        <v>2023</v>
      </c>
      <c r="B150" s="2">
        <v>10</v>
      </c>
      <c r="C150" s="2" t="s">
        <v>1944</v>
      </c>
      <c r="D150" s="2" t="s">
        <v>1945</v>
      </c>
      <c r="E150" s="2" t="s">
        <v>1946</v>
      </c>
      <c r="F150" s="2" t="s">
        <v>1947</v>
      </c>
      <c r="G150" s="2" t="s">
        <v>1948</v>
      </c>
      <c r="H150" s="2" t="s">
        <v>1949</v>
      </c>
      <c r="I150" s="2" t="s">
        <v>1950</v>
      </c>
      <c r="J150" s="2" t="s">
        <v>1951</v>
      </c>
      <c r="K150" s="3">
        <v>41386.24</v>
      </c>
      <c r="L150" s="3">
        <v>40402.13</v>
      </c>
      <c r="M150" s="3">
        <f>L150-K150</f>
      </c>
      <c r="N150" s="4">
        <f>IF(K150=0,0,M150/K150)</f>
      </c>
      <c r="O150" s="2" t="s">
        <v>1952</v>
      </c>
      <c r="P150" s="2" t="s">
        <v>1953</v>
      </c>
      <c r="Q150" s="2" t="s">
        <v>1954</v>
      </c>
      <c r="R150" s="2" t="s">
        <v>1955</v>
      </c>
      <c r="S150" s="2" t="s">
        <v>1956</v>
      </c>
    </row>
    <row customHeight="true" ht="15" r="151">
      <c r="A151" s="2">
        <v>2023</v>
      </c>
      <c r="B151" s="2">
        <v>10</v>
      </c>
      <c r="C151" s="2" t="s">
        <v>1957</v>
      </c>
      <c r="D151" s="2" t="s">
        <v>1958</v>
      </c>
      <c r="E151" s="2" t="s">
        <v>1959</v>
      </c>
      <c r="F151" s="2" t="s">
        <v>1960</v>
      </c>
      <c r="G151" s="2" t="s">
        <v>1961</v>
      </c>
      <c r="H151" s="2" t="s">
        <v>1962</v>
      </c>
      <c r="I151" s="2" t="s">
        <v>1963</v>
      </c>
      <c r="J151" s="2" t="s">
        <v>1964</v>
      </c>
      <c r="K151" s="3">
        <v>451806.32</v>
      </c>
      <c r="L151" s="3">
        <v>461297.17</v>
      </c>
      <c r="M151" s="3">
        <f>L151-K151</f>
      </c>
      <c r="N151" s="4">
        <f>IF(K151=0,0,M151/K151)</f>
      </c>
      <c r="O151" s="2" t="s">
        <v>1965</v>
      </c>
      <c r="P151" s="2" t="s">
        <v>1966</v>
      </c>
      <c r="Q151" s="2" t="s">
        <v>1967</v>
      </c>
      <c r="R151" s="2" t="s">
        <v>1968</v>
      </c>
      <c r="S151" s="2" t="s">
        <v>1969</v>
      </c>
    </row>
    <row customHeight="true" ht="15" r="152">
      <c r="A152" s="2">
        <v>2023</v>
      </c>
      <c r="B152" s="2">
        <v>11</v>
      </c>
      <c r="C152" s="2" t="s">
        <v>1970</v>
      </c>
      <c r="D152" s="2" t="s">
        <v>1971</v>
      </c>
      <c r="E152" s="2" t="s">
        <v>1972</v>
      </c>
      <c r="F152" s="2" t="s">
        <v>1973</v>
      </c>
      <c r="G152" s="2" t="s">
        <v>1974</v>
      </c>
      <c r="H152" s="2" t="s">
        <v>1975</v>
      </c>
      <c r="I152" s="2" t="s">
        <v>1976</v>
      </c>
      <c r="J152" s="2" t="s">
        <v>1977</v>
      </c>
      <c r="K152" s="3">
        <v>177629.09</v>
      </c>
      <c r="L152" s="3">
        <v>228529.33</v>
      </c>
      <c r="M152" s="3">
        <f>L152-K152</f>
      </c>
      <c r="N152" s="4">
        <f>IF(K152=0,0,M152/K152)</f>
      </c>
      <c r="O152" s="2" t="s">
        <v>1978</v>
      </c>
      <c r="P152" s="2" t="s">
        <v>1979</v>
      </c>
      <c r="Q152" s="2" t="s">
        <v>1980</v>
      </c>
      <c r="R152" s="2" t="s">
        <v>1981</v>
      </c>
      <c r="S152" s="2" t="s">
        <v>1982</v>
      </c>
    </row>
    <row customHeight="true" ht="15" r="153">
      <c r="A153" s="2">
        <v>2023</v>
      </c>
      <c r="B153" s="2">
        <v>11</v>
      </c>
      <c r="C153" s="2" t="s">
        <v>1983</v>
      </c>
      <c r="D153" s="2" t="s">
        <v>1984</v>
      </c>
      <c r="E153" s="2" t="s">
        <v>1985</v>
      </c>
      <c r="F153" s="2" t="s">
        <v>1986</v>
      </c>
      <c r="G153" s="2" t="s">
        <v>1987</v>
      </c>
      <c r="H153" s="2" t="s">
        <v>1988</v>
      </c>
      <c r="I153" s="2" t="s">
        <v>1989</v>
      </c>
      <c r="J153" s="2" t="s">
        <v>1990</v>
      </c>
      <c r="K153" s="3">
        <v>436890.34</v>
      </c>
      <c r="L153" s="3">
        <v>385847.16</v>
      </c>
      <c r="M153" s="3">
        <f>L153-K153</f>
      </c>
      <c r="N153" s="4">
        <f>IF(K153=0,0,M153/K153)</f>
      </c>
      <c r="O153" s="2" t="s">
        <v>1991</v>
      </c>
      <c r="P153" s="2" t="s">
        <v>1992</v>
      </c>
      <c r="Q153" s="2" t="s">
        <v>1993</v>
      </c>
      <c r="R153" s="2" t="s">
        <v>1994</v>
      </c>
      <c r="S153" s="2" t="s">
        <v>1995</v>
      </c>
    </row>
    <row customHeight="true" ht="15" r="154">
      <c r="A154" s="2">
        <v>2023</v>
      </c>
      <c r="B154" s="2">
        <v>11</v>
      </c>
      <c r="C154" s="2" t="s">
        <v>1996</v>
      </c>
      <c r="D154" s="2" t="s">
        <v>1997</v>
      </c>
      <c r="E154" s="2" t="s">
        <v>1998</v>
      </c>
      <c r="F154" s="2" t="s">
        <v>1999</v>
      </c>
      <c r="G154" s="2" t="s">
        <v>2000</v>
      </c>
      <c r="H154" s="2" t="s">
        <v>2001</v>
      </c>
      <c r="I154" s="2" t="s">
        <v>2002</v>
      </c>
      <c r="J154" s="2" t="s">
        <v>2003</v>
      </c>
      <c r="K154" s="3">
        <v>254726.05</v>
      </c>
      <c r="L154" s="3">
        <v>217035</v>
      </c>
      <c r="M154" s="3">
        <f>L154-K154</f>
      </c>
      <c r="N154" s="4">
        <f>IF(K154=0,0,M154/K154)</f>
      </c>
      <c r="O154" s="2" t="s">
        <v>2004</v>
      </c>
      <c r="P154" s="2" t="s">
        <v>2005</v>
      </c>
      <c r="Q154" s="2" t="s">
        <v>2006</v>
      </c>
      <c r="R154" s="2" t="s">
        <v>2007</v>
      </c>
      <c r="S154" s="2" t="s">
        <v>2008</v>
      </c>
    </row>
    <row customHeight="true" ht="15" r="155">
      <c r="A155" s="2">
        <v>2023</v>
      </c>
      <c r="B155" s="2">
        <v>11</v>
      </c>
      <c r="C155" s="2" t="s">
        <v>2009</v>
      </c>
      <c r="D155" s="2" t="s">
        <v>2010</v>
      </c>
      <c r="E155" s="2" t="s">
        <v>2011</v>
      </c>
      <c r="F155" s="2" t="s">
        <v>2012</v>
      </c>
      <c r="G155" s="2" t="s">
        <v>2013</v>
      </c>
      <c r="H155" s="2" t="s">
        <v>2014</v>
      </c>
      <c r="I155" s="2" t="s">
        <v>2015</v>
      </c>
      <c r="J155" s="2" t="s">
        <v>2016</v>
      </c>
      <c r="K155" s="3">
        <v>272403.2</v>
      </c>
      <c r="L155" s="3">
        <v>288058.24</v>
      </c>
      <c r="M155" s="3">
        <f>L155-K155</f>
      </c>
      <c r="N155" s="4">
        <f>IF(K155=0,0,M155/K155)</f>
      </c>
      <c r="O155" s="2" t="s">
        <v>2017</v>
      </c>
      <c r="P155" s="2" t="s">
        <v>2018</v>
      </c>
      <c r="Q155" s="2" t="s">
        <v>2019</v>
      </c>
      <c r="R155" s="2" t="s">
        <v>2020</v>
      </c>
      <c r="S155" s="2" t="s">
        <v>2021</v>
      </c>
    </row>
    <row customHeight="true" ht="15" r="156">
      <c r="A156" s="2">
        <v>2023</v>
      </c>
      <c r="B156" s="2">
        <v>11</v>
      </c>
      <c r="C156" s="2" t="s">
        <v>2022</v>
      </c>
      <c r="D156" s="2" t="s">
        <v>2023</v>
      </c>
      <c r="E156" s="2" t="s">
        <v>2024</v>
      </c>
      <c r="F156" s="2" t="s">
        <v>2025</v>
      </c>
      <c r="G156" s="2" t="s">
        <v>2026</v>
      </c>
      <c r="H156" s="2" t="s">
        <v>2027</v>
      </c>
      <c r="I156" s="2" t="s">
        <v>2028</v>
      </c>
      <c r="J156" s="2" t="s">
        <v>2029</v>
      </c>
      <c r="K156" s="3">
        <v>141360.58</v>
      </c>
      <c r="L156" s="3">
        <v>129415.43</v>
      </c>
      <c r="M156" s="3">
        <f>L156-K156</f>
      </c>
      <c r="N156" s="4">
        <f>IF(K156=0,0,M156/K156)</f>
      </c>
      <c r="O156" s="2" t="s">
        <v>2030</v>
      </c>
      <c r="P156" s="2" t="s">
        <v>2031</v>
      </c>
      <c r="Q156" s="2" t="s">
        <v>2032</v>
      </c>
      <c r="R156" s="2" t="s">
        <v>2033</v>
      </c>
      <c r="S156" s="2" t="s">
        <v>2034</v>
      </c>
    </row>
    <row customHeight="true" ht="15" r="157">
      <c r="A157" s="2">
        <v>2023</v>
      </c>
      <c r="B157" s="2">
        <v>11</v>
      </c>
      <c r="C157" s="2" t="s">
        <v>2035</v>
      </c>
      <c r="D157" s="2" t="s">
        <v>2036</v>
      </c>
      <c r="E157" s="2" t="s">
        <v>2037</v>
      </c>
      <c r="F157" s="2" t="s">
        <v>2038</v>
      </c>
      <c r="G157" s="2" t="s">
        <v>2039</v>
      </c>
      <c r="H157" s="2" t="s">
        <v>2040</v>
      </c>
      <c r="I157" s="2" t="s">
        <v>2041</v>
      </c>
      <c r="J157" s="2" t="s">
        <v>2042</v>
      </c>
      <c r="K157" s="3">
        <v>180121.8</v>
      </c>
      <c r="L157" s="3">
        <v>186654.25</v>
      </c>
      <c r="M157" s="3">
        <f>L157-K157</f>
      </c>
      <c r="N157" s="4">
        <f>IF(K157=0,0,M157/K157)</f>
      </c>
      <c r="O157" s="2" t="s">
        <v>2043</v>
      </c>
      <c r="P157" s="2" t="s">
        <v>2044</v>
      </c>
      <c r="Q157" s="2" t="s">
        <v>2045</v>
      </c>
      <c r="R157" s="2" t="s">
        <v>2046</v>
      </c>
      <c r="S157" s="2" t="s">
        <v>2047</v>
      </c>
    </row>
    <row customHeight="true" ht="15" r="158">
      <c r="A158" s="2">
        <v>2023</v>
      </c>
      <c r="B158" s="2">
        <v>11</v>
      </c>
      <c r="C158" s="2" t="s">
        <v>2048</v>
      </c>
      <c r="D158" s="2" t="s">
        <v>2049</v>
      </c>
      <c r="E158" s="2" t="s">
        <v>2050</v>
      </c>
      <c r="F158" s="2" t="s">
        <v>2051</v>
      </c>
      <c r="G158" s="2" t="s">
        <v>2052</v>
      </c>
      <c r="H158" s="2" t="s">
        <v>2053</v>
      </c>
      <c r="I158" s="2" t="s">
        <v>2054</v>
      </c>
      <c r="J158" s="2" t="s">
        <v>2055</v>
      </c>
      <c r="K158" s="3">
        <v>192110.34</v>
      </c>
      <c r="L158" s="3">
        <v>216861.84</v>
      </c>
      <c r="M158" s="3">
        <f>L158-K158</f>
      </c>
      <c r="N158" s="4">
        <f>IF(K158=0,0,M158/K158)</f>
      </c>
      <c r="O158" s="2" t="s">
        <v>2056</v>
      </c>
      <c r="P158" s="2" t="s">
        <v>2057</v>
      </c>
      <c r="Q158" s="2" t="s">
        <v>2058</v>
      </c>
      <c r="R158" s="2" t="s">
        <v>2059</v>
      </c>
      <c r="S158" s="2" t="s">
        <v>2060</v>
      </c>
    </row>
    <row customHeight="true" ht="15" r="159">
      <c r="A159" s="2">
        <v>2023</v>
      </c>
      <c r="B159" s="2">
        <v>11</v>
      </c>
      <c r="C159" s="2" t="s">
        <v>2061</v>
      </c>
      <c r="D159" s="2" t="s">
        <v>2062</v>
      </c>
      <c r="E159" s="2" t="s">
        <v>2063</v>
      </c>
      <c r="F159" s="2" t="s">
        <v>2064</v>
      </c>
      <c r="G159" s="2" t="s">
        <v>2065</v>
      </c>
      <c r="H159" s="2" t="s">
        <v>2066</v>
      </c>
      <c r="I159" s="2" t="s">
        <v>2067</v>
      </c>
      <c r="J159" s="2" t="s">
        <v>2068</v>
      </c>
      <c r="K159" s="3">
        <v>359964.93</v>
      </c>
      <c r="L159" s="3">
        <v>425893.96</v>
      </c>
      <c r="M159" s="3">
        <f>L159-K159</f>
      </c>
      <c r="N159" s="4">
        <f>IF(K159=0,0,M159/K159)</f>
      </c>
      <c r="O159" s="2" t="s">
        <v>2069</v>
      </c>
      <c r="P159" s="2" t="s">
        <v>2070</v>
      </c>
      <c r="Q159" s="2" t="s">
        <v>2071</v>
      </c>
      <c r="R159" s="2" t="s">
        <v>2072</v>
      </c>
      <c r="S159" s="2" t="s">
        <v>2073</v>
      </c>
    </row>
    <row customHeight="true" ht="15" r="160">
      <c r="A160" s="2">
        <v>2023</v>
      </c>
      <c r="B160" s="2">
        <v>11</v>
      </c>
      <c r="C160" s="2" t="s">
        <v>2074</v>
      </c>
      <c r="D160" s="2" t="s">
        <v>2075</v>
      </c>
      <c r="E160" s="2" t="s">
        <v>2076</v>
      </c>
      <c r="F160" s="2" t="s">
        <v>2077</v>
      </c>
      <c r="G160" s="2" t="s">
        <v>2078</v>
      </c>
      <c r="H160" s="2" t="s">
        <v>2079</v>
      </c>
      <c r="I160" s="2" t="s">
        <v>2080</v>
      </c>
      <c r="J160" s="2" t="s">
        <v>2081</v>
      </c>
      <c r="K160" s="3">
        <v>140219.85</v>
      </c>
      <c r="L160" s="3">
        <v>133841.2</v>
      </c>
      <c r="M160" s="3">
        <f>L160-K160</f>
      </c>
      <c r="N160" s="4">
        <f>IF(K160=0,0,M160/K160)</f>
      </c>
      <c r="O160" s="2" t="s">
        <v>2082</v>
      </c>
      <c r="P160" s="2" t="s">
        <v>2083</v>
      </c>
      <c r="Q160" s="2" t="s">
        <v>2084</v>
      </c>
      <c r="R160" s="2" t="s">
        <v>2085</v>
      </c>
      <c r="S160" s="2" t="s">
        <v>2086</v>
      </c>
    </row>
    <row customHeight="true" ht="15" r="161">
      <c r="A161" s="2">
        <v>2023</v>
      </c>
      <c r="B161" s="2">
        <v>11</v>
      </c>
      <c r="C161" s="2" t="s">
        <v>2087</v>
      </c>
      <c r="D161" s="2" t="s">
        <v>2088</v>
      </c>
      <c r="E161" s="2" t="s">
        <v>2089</v>
      </c>
      <c r="F161" s="2" t="s">
        <v>2090</v>
      </c>
      <c r="G161" s="2" t="s">
        <v>2091</v>
      </c>
      <c r="H161" s="2" t="s">
        <v>2092</v>
      </c>
      <c r="I161" s="2" t="s">
        <v>2093</v>
      </c>
      <c r="J161" s="2" t="s">
        <v>2094</v>
      </c>
      <c r="K161" s="3">
        <v>470191.45</v>
      </c>
      <c r="L161" s="3">
        <v>550856.51</v>
      </c>
      <c r="M161" s="3">
        <f>L161-K161</f>
      </c>
      <c r="N161" s="4">
        <f>IF(K161=0,0,M161/K161)</f>
      </c>
      <c r="O161" s="2" t="s">
        <v>2095</v>
      </c>
      <c r="P161" s="2" t="s">
        <v>2096</v>
      </c>
      <c r="Q161" s="2" t="s">
        <v>2097</v>
      </c>
      <c r="R161" s="2" t="s">
        <v>2098</v>
      </c>
      <c r="S161" s="2" t="s">
        <v>2099</v>
      </c>
    </row>
    <row customHeight="true" ht="15" r="162">
      <c r="A162" s="2">
        <v>2023</v>
      </c>
      <c r="B162" s="2">
        <v>11</v>
      </c>
      <c r="C162" s="2" t="s">
        <v>2100</v>
      </c>
      <c r="D162" s="2" t="s">
        <v>2101</v>
      </c>
      <c r="E162" s="2" t="s">
        <v>2102</v>
      </c>
      <c r="F162" s="2" t="s">
        <v>2103</v>
      </c>
      <c r="G162" s="2" t="s">
        <v>2104</v>
      </c>
      <c r="H162" s="2" t="s">
        <v>2105</v>
      </c>
      <c r="I162" s="2" t="s">
        <v>2106</v>
      </c>
      <c r="J162" s="2" t="s">
        <v>2107</v>
      </c>
      <c r="K162" s="3">
        <v>140978.49</v>
      </c>
      <c r="L162" s="3">
        <v>123543.55</v>
      </c>
      <c r="M162" s="3">
        <f>L162-K162</f>
      </c>
      <c r="N162" s="4">
        <f>IF(K162=0,0,M162/K162)</f>
      </c>
      <c r="O162" s="2" t="s">
        <v>2108</v>
      </c>
      <c r="P162" s="2" t="s">
        <v>2109</v>
      </c>
      <c r="Q162" s="2" t="s">
        <v>2110</v>
      </c>
      <c r="R162" s="2" t="s">
        <v>2111</v>
      </c>
      <c r="S162" s="2" t="s">
        <v>2112</v>
      </c>
    </row>
    <row customHeight="true" ht="15" r="163">
      <c r="A163" s="2">
        <v>2023</v>
      </c>
      <c r="B163" s="2">
        <v>11</v>
      </c>
      <c r="C163" s="2" t="s">
        <v>2113</v>
      </c>
      <c r="D163" s="2" t="s">
        <v>2114</v>
      </c>
      <c r="E163" s="2" t="s">
        <v>2115</v>
      </c>
      <c r="F163" s="2" t="s">
        <v>2116</v>
      </c>
      <c r="G163" s="2" t="s">
        <v>2117</v>
      </c>
      <c r="H163" s="2" t="s">
        <v>2118</v>
      </c>
      <c r="I163" s="2" t="s">
        <v>2119</v>
      </c>
      <c r="J163" s="2" t="s">
        <v>2120</v>
      </c>
      <c r="K163" s="3">
        <v>66579.14</v>
      </c>
      <c r="L163" s="3">
        <v>77817.21</v>
      </c>
      <c r="M163" s="3">
        <f>L163-K163</f>
      </c>
      <c r="N163" s="4">
        <f>IF(K163=0,0,M163/K163)</f>
      </c>
      <c r="O163" s="2" t="s">
        <v>2121</v>
      </c>
      <c r="P163" s="2" t="s">
        <v>2122</v>
      </c>
      <c r="Q163" s="2" t="s">
        <v>2123</v>
      </c>
      <c r="R163" s="2" t="s">
        <v>2124</v>
      </c>
      <c r="S163" s="2" t="s">
        <v>2125</v>
      </c>
    </row>
    <row customHeight="true" ht="15" r="164">
      <c r="A164" s="2">
        <v>2023</v>
      </c>
      <c r="B164" s="2">
        <v>11</v>
      </c>
      <c r="C164" s="2" t="s">
        <v>2126</v>
      </c>
      <c r="D164" s="2" t="s">
        <v>2127</v>
      </c>
      <c r="E164" s="2" t="s">
        <v>2128</v>
      </c>
      <c r="F164" s="2" t="s">
        <v>2129</v>
      </c>
      <c r="G164" s="2" t="s">
        <v>2130</v>
      </c>
      <c r="H164" s="2" t="s">
        <v>2131</v>
      </c>
      <c r="I164" s="2" t="s">
        <v>2132</v>
      </c>
      <c r="J164" s="2" t="s">
        <v>2133</v>
      </c>
      <c r="K164" s="3">
        <v>141113.7</v>
      </c>
      <c r="L164" s="3">
        <v>183090.71</v>
      </c>
      <c r="M164" s="3">
        <f>L164-K164</f>
      </c>
      <c r="N164" s="4">
        <f>IF(K164=0,0,M164/K164)</f>
      </c>
      <c r="O164" s="2" t="s">
        <v>2134</v>
      </c>
      <c r="P164" s="2" t="s">
        <v>2135</v>
      </c>
      <c r="Q164" s="2" t="s">
        <v>2136</v>
      </c>
      <c r="R164" s="2" t="s">
        <v>2137</v>
      </c>
      <c r="S164" s="2" t="s">
        <v>2138</v>
      </c>
    </row>
    <row customHeight="true" ht="15" r="165">
      <c r="A165" s="2">
        <v>2023</v>
      </c>
      <c r="B165" s="2">
        <v>11</v>
      </c>
      <c r="C165" s="2" t="s">
        <v>2139</v>
      </c>
      <c r="D165" s="2" t="s">
        <v>2140</v>
      </c>
      <c r="E165" s="2" t="s">
        <v>2141</v>
      </c>
      <c r="F165" s="2" t="s">
        <v>2142</v>
      </c>
      <c r="G165" s="2" t="s">
        <v>2143</v>
      </c>
      <c r="H165" s="2" t="s">
        <v>2144</v>
      </c>
      <c r="I165" s="2" t="s">
        <v>2145</v>
      </c>
      <c r="J165" s="2" t="s">
        <v>2146</v>
      </c>
      <c r="K165" s="3">
        <v>397517.28</v>
      </c>
      <c r="L165" s="3">
        <v>463347.05</v>
      </c>
      <c r="M165" s="3">
        <f>L165-K165</f>
      </c>
      <c r="N165" s="4">
        <f>IF(K165=0,0,M165/K165)</f>
      </c>
      <c r="O165" s="2" t="s">
        <v>2147</v>
      </c>
      <c r="P165" s="2" t="s">
        <v>2148</v>
      </c>
      <c r="Q165" s="2" t="s">
        <v>2149</v>
      </c>
      <c r="R165" s="2" t="s">
        <v>2150</v>
      </c>
      <c r="S165" s="2" t="s">
        <v>2151</v>
      </c>
    </row>
    <row customHeight="true" ht="15" r="166">
      <c r="A166" s="2">
        <v>2023</v>
      </c>
      <c r="B166" s="2">
        <v>11</v>
      </c>
      <c r="C166" s="2" t="s">
        <v>2152</v>
      </c>
      <c r="D166" s="2" t="s">
        <v>2153</v>
      </c>
      <c r="E166" s="2" t="s">
        <v>2154</v>
      </c>
      <c r="F166" s="2" t="s">
        <v>2155</v>
      </c>
      <c r="G166" s="2" t="s">
        <v>2156</v>
      </c>
      <c r="H166" s="2" t="s">
        <v>2157</v>
      </c>
      <c r="I166" s="2" t="s">
        <v>2158</v>
      </c>
      <c r="J166" s="2" t="s">
        <v>2159</v>
      </c>
      <c r="K166" s="3">
        <v>451295.98</v>
      </c>
      <c r="L166" s="3">
        <v>416829.65</v>
      </c>
      <c r="M166" s="3">
        <f>L166-K166</f>
      </c>
      <c r="N166" s="4">
        <f>IF(K166=0,0,M166/K166)</f>
      </c>
      <c r="O166" s="2" t="s">
        <v>2160</v>
      </c>
      <c r="P166" s="2" t="s">
        <v>2161</v>
      </c>
      <c r="Q166" s="2" t="s">
        <v>2162</v>
      </c>
      <c r="R166" s="2" t="s">
        <v>2163</v>
      </c>
      <c r="S166" s="2" t="s">
        <v>2164</v>
      </c>
    </row>
    <row customHeight="true" ht="15" r="167">
      <c r="A167" s="2">
        <v>2023</v>
      </c>
      <c r="B167" s="2">
        <v>12</v>
      </c>
      <c r="C167" s="2" t="s">
        <v>2165</v>
      </c>
      <c r="D167" s="2" t="s">
        <v>2166</v>
      </c>
      <c r="E167" s="2" t="s">
        <v>2167</v>
      </c>
      <c r="F167" s="2" t="s">
        <v>2168</v>
      </c>
      <c r="G167" s="2" t="s">
        <v>2169</v>
      </c>
      <c r="H167" s="2" t="s">
        <v>2170</v>
      </c>
      <c r="I167" s="2" t="s">
        <v>2171</v>
      </c>
      <c r="J167" s="2" t="s">
        <v>2172</v>
      </c>
      <c r="K167" s="3">
        <v>482449.34</v>
      </c>
      <c r="L167" s="3">
        <v>439013.47</v>
      </c>
      <c r="M167" s="3">
        <f>L167-K167</f>
      </c>
      <c r="N167" s="4">
        <f>IF(K167=0,0,M167/K167)</f>
      </c>
      <c r="O167" s="2" t="s">
        <v>2173</v>
      </c>
      <c r="P167" s="2" t="s">
        <v>2174</v>
      </c>
      <c r="Q167" s="2" t="s">
        <v>2175</v>
      </c>
      <c r="R167" s="2" t="s">
        <v>2176</v>
      </c>
      <c r="S167" s="2" t="s">
        <v>2177</v>
      </c>
    </row>
    <row customHeight="true" ht="15" r="168">
      <c r="A168" s="2">
        <v>2023</v>
      </c>
      <c r="B168" s="2">
        <v>12</v>
      </c>
      <c r="C168" s="2" t="s">
        <v>2178</v>
      </c>
      <c r="D168" s="2" t="s">
        <v>2179</v>
      </c>
      <c r="E168" s="2" t="s">
        <v>2180</v>
      </c>
      <c r="F168" s="2" t="s">
        <v>2181</v>
      </c>
      <c r="G168" s="2" t="s">
        <v>2182</v>
      </c>
      <c r="H168" s="2" t="s">
        <v>2183</v>
      </c>
      <c r="I168" s="2" t="s">
        <v>2184</v>
      </c>
      <c r="J168" s="2" t="s">
        <v>2185</v>
      </c>
      <c r="K168" s="3">
        <v>2625.86</v>
      </c>
      <c r="L168" s="3">
        <v>3032.38</v>
      </c>
      <c r="M168" s="3">
        <f>L168-K168</f>
      </c>
      <c r="N168" s="4">
        <f>IF(K168=0,0,M168/K168)</f>
      </c>
      <c r="O168" s="2" t="s">
        <v>2186</v>
      </c>
      <c r="P168" s="2" t="s">
        <v>2187</v>
      </c>
      <c r="Q168" s="2" t="s">
        <v>2188</v>
      </c>
      <c r="R168" s="2" t="s">
        <v>2189</v>
      </c>
      <c r="S168" s="2" t="s">
        <v>2190</v>
      </c>
    </row>
    <row customHeight="true" ht="15" r="169">
      <c r="A169" s="2">
        <v>2023</v>
      </c>
      <c r="B169" s="2">
        <v>12</v>
      </c>
      <c r="C169" s="2" t="s">
        <v>2191</v>
      </c>
      <c r="D169" s="2" t="s">
        <v>2192</v>
      </c>
      <c r="E169" s="2" t="s">
        <v>2193</v>
      </c>
      <c r="F169" s="2" t="s">
        <v>2194</v>
      </c>
      <c r="G169" s="2" t="s">
        <v>2195</v>
      </c>
      <c r="H169" s="2" t="s">
        <v>2196</v>
      </c>
      <c r="I169" s="2" t="s">
        <v>2197</v>
      </c>
      <c r="J169" s="2" t="s">
        <v>2198</v>
      </c>
      <c r="K169" s="3">
        <v>324739.47</v>
      </c>
      <c r="L169" s="3">
        <v>299797.4</v>
      </c>
      <c r="M169" s="3">
        <f>L169-K169</f>
      </c>
      <c r="N169" s="4">
        <f>IF(K169=0,0,M169/K169)</f>
      </c>
      <c r="O169" s="2" t="s">
        <v>2199</v>
      </c>
      <c r="P169" s="2" t="s">
        <v>2200</v>
      </c>
      <c r="Q169" s="2" t="s">
        <v>2201</v>
      </c>
      <c r="R169" s="2" t="s">
        <v>2202</v>
      </c>
      <c r="S169" s="2" t="s">
        <v>2203</v>
      </c>
    </row>
    <row customHeight="true" ht="15" r="170">
      <c r="A170" s="2">
        <v>2023</v>
      </c>
      <c r="B170" s="2">
        <v>12</v>
      </c>
      <c r="C170" s="2" t="s">
        <v>2204</v>
      </c>
      <c r="D170" s="2" t="s">
        <v>2205</v>
      </c>
      <c r="E170" s="2" t="s">
        <v>2206</v>
      </c>
      <c r="F170" s="2" t="s">
        <v>2207</v>
      </c>
      <c r="G170" s="2" t="s">
        <v>2208</v>
      </c>
      <c r="H170" s="2" t="s">
        <v>2209</v>
      </c>
      <c r="I170" s="2" t="s">
        <v>2210</v>
      </c>
      <c r="J170" s="2" t="s">
        <v>2211</v>
      </c>
      <c r="K170" s="3">
        <v>59122.27</v>
      </c>
      <c r="L170" s="3">
        <v>55142.07</v>
      </c>
      <c r="M170" s="3">
        <f>L170-K170</f>
      </c>
      <c r="N170" s="4">
        <f>IF(K170=0,0,M170/K170)</f>
      </c>
      <c r="O170" s="2" t="s">
        <v>2212</v>
      </c>
      <c r="P170" s="2" t="s">
        <v>2213</v>
      </c>
      <c r="Q170" s="2" t="s">
        <v>2214</v>
      </c>
      <c r="R170" s="2" t="s">
        <v>2215</v>
      </c>
      <c r="S170" s="2" t="s">
        <v>2216</v>
      </c>
    </row>
    <row customHeight="true" ht="15" r="171">
      <c r="A171" s="2">
        <v>2023</v>
      </c>
      <c r="B171" s="2">
        <v>12</v>
      </c>
      <c r="C171" s="2" t="s">
        <v>2217</v>
      </c>
      <c r="D171" s="2" t="s">
        <v>2218</v>
      </c>
      <c r="E171" s="2" t="s">
        <v>2219</v>
      </c>
      <c r="F171" s="2" t="s">
        <v>2220</v>
      </c>
      <c r="G171" s="2" t="s">
        <v>2221</v>
      </c>
      <c r="H171" s="2" t="s">
        <v>2222</v>
      </c>
      <c r="I171" s="2" t="s">
        <v>2223</v>
      </c>
      <c r="J171" s="2" t="s">
        <v>2224</v>
      </c>
      <c r="K171" s="3">
        <v>445694.96</v>
      </c>
      <c r="L171" s="3">
        <v>413744.93</v>
      </c>
      <c r="M171" s="3">
        <f>L171-K171</f>
      </c>
      <c r="N171" s="4">
        <f>IF(K171=0,0,M171/K171)</f>
      </c>
      <c r="O171" s="2" t="s">
        <v>2225</v>
      </c>
      <c r="P171" s="2" t="s">
        <v>2226</v>
      </c>
      <c r="Q171" s="2" t="s">
        <v>2227</v>
      </c>
      <c r="R171" s="2" t="s">
        <v>2228</v>
      </c>
      <c r="S171" s="2" t="s">
        <v>2229</v>
      </c>
    </row>
    <row customHeight="true" ht="15" r="172">
      <c r="A172" s="2">
        <v>2023</v>
      </c>
      <c r="B172" s="2">
        <v>12</v>
      </c>
      <c r="C172" s="2" t="s">
        <v>2230</v>
      </c>
      <c r="D172" s="2" t="s">
        <v>2231</v>
      </c>
      <c r="E172" s="2" t="s">
        <v>2232</v>
      </c>
      <c r="F172" s="2" t="s">
        <v>2233</v>
      </c>
      <c r="G172" s="2" t="s">
        <v>2234</v>
      </c>
      <c r="H172" s="2" t="s">
        <v>2235</v>
      </c>
      <c r="I172" s="2" t="s">
        <v>2236</v>
      </c>
      <c r="J172" s="2" t="s">
        <v>2237</v>
      </c>
      <c r="K172" s="3">
        <v>142877.47</v>
      </c>
      <c r="L172" s="3">
        <v>184145.86</v>
      </c>
      <c r="M172" s="3">
        <f>L172-K172</f>
      </c>
      <c r="N172" s="4">
        <f>IF(K172=0,0,M172/K172)</f>
      </c>
      <c r="O172" s="2" t="s">
        <v>2238</v>
      </c>
      <c r="P172" s="2" t="s">
        <v>2239</v>
      </c>
      <c r="Q172" s="2" t="s">
        <v>2240</v>
      </c>
      <c r="R172" s="2" t="s">
        <v>2241</v>
      </c>
      <c r="S172" s="2" t="s">
        <v>2242</v>
      </c>
    </row>
    <row customHeight="true" ht="15" r="173">
      <c r="A173" s="2">
        <v>2023</v>
      </c>
      <c r="B173" s="2">
        <v>12</v>
      </c>
      <c r="C173" s="2" t="s">
        <v>2243</v>
      </c>
      <c r="D173" s="2" t="s">
        <v>2244</v>
      </c>
      <c r="E173" s="2" t="s">
        <v>2245</v>
      </c>
      <c r="F173" s="2" t="s">
        <v>2246</v>
      </c>
      <c r="G173" s="2" t="s">
        <v>2247</v>
      </c>
      <c r="H173" s="2" t="s">
        <v>2248</v>
      </c>
      <c r="I173" s="2" t="s">
        <v>2249</v>
      </c>
      <c r="J173" s="2" t="s">
        <v>2250</v>
      </c>
      <c r="K173" s="3">
        <v>325487.66</v>
      </c>
      <c r="L173" s="3">
        <v>275970.05</v>
      </c>
      <c r="M173" s="3">
        <f>L173-K173</f>
      </c>
      <c r="N173" s="4">
        <f>IF(K173=0,0,M173/K173)</f>
      </c>
      <c r="O173" s="2" t="s">
        <v>2251</v>
      </c>
      <c r="P173" s="2" t="s">
        <v>2252</v>
      </c>
      <c r="Q173" s="2" t="s">
        <v>2253</v>
      </c>
      <c r="R173" s="2" t="s">
        <v>2254</v>
      </c>
      <c r="S173" s="2" t="s">
        <v>2255</v>
      </c>
    </row>
    <row customHeight="true" ht="15" r="174">
      <c r="A174" s="2">
        <v>2023</v>
      </c>
      <c r="B174" s="2">
        <v>12</v>
      </c>
      <c r="C174" s="2" t="s">
        <v>2256</v>
      </c>
      <c r="D174" s="2" t="s">
        <v>2257</v>
      </c>
      <c r="E174" s="2" t="s">
        <v>2258</v>
      </c>
      <c r="F174" s="2" t="s">
        <v>2259</v>
      </c>
      <c r="G174" s="2" t="s">
        <v>2260</v>
      </c>
      <c r="H174" s="2" t="s">
        <v>2261</v>
      </c>
      <c r="I174" s="2" t="s">
        <v>2262</v>
      </c>
      <c r="J174" s="2" t="s">
        <v>2263</v>
      </c>
      <c r="K174" s="3">
        <v>461075.56</v>
      </c>
      <c r="L174" s="3">
        <v>398686.6</v>
      </c>
      <c r="M174" s="3">
        <f>L174-K174</f>
      </c>
      <c r="N174" s="4">
        <f>IF(K174=0,0,M174/K174)</f>
      </c>
      <c r="O174" s="2" t="s">
        <v>2264</v>
      </c>
      <c r="P174" s="2" t="s">
        <v>2265</v>
      </c>
      <c r="Q174" s="2" t="s">
        <v>2266</v>
      </c>
      <c r="R174" s="2" t="s">
        <v>2267</v>
      </c>
      <c r="S174" s="2" t="s">
        <v>2268</v>
      </c>
    </row>
    <row customHeight="true" ht="15" r="175">
      <c r="A175" s="2">
        <v>2023</v>
      </c>
      <c r="B175" s="2">
        <v>12</v>
      </c>
      <c r="C175" s="2" t="s">
        <v>2269</v>
      </c>
      <c r="D175" s="2" t="s">
        <v>2270</v>
      </c>
      <c r="E175" s="2" t="s">
        <v>2271</v>
      </c>
      <c r="F175" s="2" t="s">
        <v>2272</v>
      </c>
      <c r="G175" s="2" t="s">
        <v>2273</v>
      </c>
      <c r="H175" s="2" t="s">
        <v>2274</v>
      </c>
      <c r="I175" s="2" t="s">
        <v>2275</v>
      </c>
      <c r="J175" s="2" t="s">
        <v>2276</v>
      </c>
      <c r="K175" s="3">
        <v>4953.16</v>
      </c>
      <c r="L175" s="3">
        <v>4829.1</v>
      </c>
      <c r="M175" s="3">
        <f>L175-K175</f>
      </c>
      <c r="N175" s="4">
        <f>IF(K175=0,0,M175/K175)</f>
      </c>
      <c r="O175" s="2" t="s">
        <v>2277</v>
      </c>
      <c r="P175" s="2" t="s">
        <v>2278</v>
      </c>
      <c r="Q175" s="2" t="s">
        <v>2279</v>
      </c>
      <c r="R175" s="2" t="s">
        <v>2280</v>
      </c>
      <c r="S175" s="2" t="s">
        <v>2281</v>
      </c>
    </row>
    <row customHeight="true" ht="15" r="176">
      <c r="A176" s="2">
        <v>2023</v>
      </c>
      <c r="B176" s="2">
        <v>12</v>
      </c>
      <c r="C176" s="2" t="s">
        <v>2282</v>
      </c>
      <c r="D176" s="2" t="s">
        <v>2283</v>
      </c>
      <c r="E176" s="2" t="s">
        <v>2284</v>
      </c>
      <c r="F176" s="2" t="s">
        <v>2285</v>
      </c>
      <c r="G176" s="2" t="s">
        <v>2286</v>
      </c>
      <c r="H176" s="2" t="s">
        <v>2287</v>
      </c>
      <c r="I176" s="2" t="s">
        <v>2288</v>
      </c>
      <c r="J176" s="2" t="s">
        <v>2289</v>
      </c>
      <c r="K176" s="3">
        <v>180334.19</v>
      </c>
      <c r="L176" s="3">
        <v>219816.68</v>
      </c>
      <c r="M176" s="3">
        <f>L176-K176</f>
      </c>
      <c r="N176" s="4">
        <f>IF(K176=0,0,M176/K176)</f>
      </c>
      <c r="O176" s="2" t="s">
        <v>2290</v>
      </c>
      <c r="P176" s="2" t="s">
        <v>2291</v>
      </c>
      <c r="Q176" s="2" t="s">
        <v>2292</v>
      </c>
      <c r="R176" s="2" t="s">
        <v>2293</v>
      </c>
      <c r="S176" s="2" t="s">
        <v>2294</v>
      </c>
    </row>
    <row customHeight="true" ht="15" r="177">
      <c r="A177" s="2">
        <v>2023</v>
      </c>
      <c r="B177" s="2">
        <v>12</v>
      </c>
      <c r="C177" s="2" t="s">
        <v>2295</v>
      </c>
      <c r="D177" s="2" t="s">
        <v>2296</v>
      </c>
      <c r="E177" s="2" t="s">
        <v>2297</v>
      </c>
      <c r="F177" s="2" t="s">
        <v>2298</v>
      </c>
      <c r="G177" s="2" t="s">
        <v>2299</v>
      </c>
      <c r="H177" s="2" t="s">
        <v>2300</v>
      </c>
      <c r="I177" s="2" t="s">
        <v>2301</v>
      </c>
      <c r="J177" s="2" t="s">
        <v>2302</v>
      </c>
      <c r="K177" s="3">
        <v>341408.58</v>
      </c>
      <c r="L177" s="3">
        <v>377549.6</v>
      </c>
      <c r="M177" s="3">
        <f>L177-K177</f>
      </c>
      <c r="N177" s="4">
        <f>IF(K177=0,0,M177/K177)</f>
      </c>
      <c r="O177" s="2" t="s">
        <v>2303</v>
      </c>
      <c r="P177" s="2" t="s">
        <v>2304</v>
      </c>
      <c r="Q177" s="2" t="s">
        <v>2305</v>
      </c>
      <c r="R177" s="2" t="s">
        <v>2306</v>
      </c>
      <c r="S177" s="2" t="s">
        <v>2307</v>
      </c>
    </row>
    <row customHeight="true" ht="15" r="178">
      <c r="A178" s="2">
        <v>2023</v>
      </c>
      <c r="B178" s="2">
        <v>12</v>
      </c>
      <c r="C178" s="2" t="s">
        <v>2308</v>
      </c>
      <c r="D178" s="2" t="s">
        <v>2309</v>
      </c>
      <c r="E178" s="2" t="s">
        <v>2310</v>
      </c>
      <c r="F178" s="2" t="s">
        <v>2311</v>
      </c>
      <c r="G178" s="2" t="s">
        <v>2312</v>
      </c>
      <c r="H178" s="2" t="s">
        <v>2313</v>
      </c>
      <c r="I178" s="2" t="s">
        <v>2314</v>
      </c>
      <c r="J178" s="2" t="s">
        <v>2315</v>
      </c>
      <c r="K178" s="3">
        <v>166812.05</v>
      </c>
      <c r="L178" s="3">
        <v>177048.17</v>
      </c>
      <c r="M178" s="3">
        <f>L178-K178</f>
      </c>
      <c r="N178" s="4">
        <f>IF(K178=0,0,M178/K178)</f>
      </c>
      <c r="O178" s="2" t="s">
        <v>2316</v>
      </c>
      <c r="P178" s="2" t="s">
        <v>2317</v>
      </c>
      <c r="Q178" s="2" t="s">
        <v>2318</v>
      </c>
      <c r="R178" s="2" t="s">
        <v>2319</v>
      </c>
      <c r="S178" s="2" t="s">
        <v>2320</v>
      </c>
    </row>
    <row customHeight="true" ht="15" r="179">
      <c r="A179" s="2">
        <v>2023</v>
      </c>
      <c r="B179" s="2">
        <v>12</v>
      </c>
      <c r="C179" s="2" t="s">
        <v>2321</v>
      </c>
      <c r="D179" s="2" t="s">
        <v>2322</v>
      </c>
      <c r="E179" s="2" t="s">
        <v>2323</v>
      </c>
      <c r="F179" s="2" t="s">
        <v>2324</v>
      </c>
      <c r="G179" s="2" t="s">
        <v>2325</v>
      </c>
      <c r="H179" s="2" t="s">
        <v>2326</v>
      </c>
      <c r="I179" s="2" t="s">
        <v>2327</v>
      </c>
      <c r="J179" s="2" t="s">
        <v>2328</v>
      </c>
      <c r="K179" s="3">
        <v>192418.57</v>
      </c>
      <c r="L179" s="3">
        <v>209529.85</v>
      </c>
      <c r="M179" s="3">
        <f>L179-K179</f>
      </c>
      <c r="N179" s="4">
        <f>IF(K179=0,0,M179/K179)</f>
      </c>
      <c r="O179" s="2" t="s">
        <v>2329</v>
      </c>
      <c r="P179" s="2" t="s">
        <v>2330</v>
      </c>
      <c r="Q179" s="2" t="s">
        <v>2331</v>
      </c>
      <c r="R179" s="2" t="s">
        <v>2332</v>
      </c>
      <c r="S179" s="2" t="s">
        <v>2333</v>
      </c>
    </row>
    <row customHeight="true" ht="15" r="180">
      <c r="A180" s="2">
        <v>2023</v>
      </c>
      <c r="B180" s="2">
        <v>12</v>
      </c>
      <c r="C180" s="2" t="s">
        <v>2334</v>
      </c>
      <c r="D180" s="2" t="s">
        <v>2335</v>
      </c>
      <c r="E180" s="2" t="s">
        <v>2336</v>
      </c>
      <c r="F180" s="2" t="s">
        <v>2337</v>
      </c>
      <c r="G180" s="2" t="s">
        <v>2338</v>
      </c>
      <c r="H180" s="2" t="s">
        <v>2339</v>
      </c>
      <c r="I180" s="2" t="s">
        <v>2340</v>
      </c>
      <c r="J180" s="2" t="s">
        <v>2341</v>
      </c>
      <c r="K180" s="3">
        <v>67313.85</v>
      </c>
      <c r="L180" s="3">
        <v>74156.57</v>
      </c>
      <c r="M180" s="3">
        <f>L180-K180</f>
      </c>
      <c r="N180" s="4">
        <f>IF(K180=0,0,M180/K180)</f>
      </c>
      <c r="O180" s="2" t="s">
        <v>2342</v>
      </c>
      <c r="P180" s="2" t="s">
        <v>2343</v>
      </c>
      <c r="Q180" s="2" t="s">
        <v>2344</v>
      </c>
      <c r="R180" s="2" t="s">
        <v>2345</v>
      </c>
      <c r="S180" s="2" t="s">
        <v>2346</v>
      </c>
    </row>
    <row customHeight="true" ht="15" r="181">
      <c r="A181" s="2">
        <v>2023</v>
      </c>
      <c r="B181" s="2">
        <v>12</v>
      </c>
      <c r="C181" s="2" t="s">
        <v>2347</v>
      </c>
      <c r="D181" s="2" t="s">
        <v>2348</v>
      </c>
      <c r="E181" s="2" t="s">
        <v>2349</v>
      </c>
      <c r="F181" s="2" t="s">
        <v>2350</v>
      </c>
      <c r="G181" s="2" t="s">
        <v>2351</v>
      </c>
      <c r="H181" s="2" t="s">
        <v>2352</v>
      </c>
      <c r="I181" s="2" t="s">
        <v>2353</v>
      </c>
      <c r="J181" s="2" t="s">
        <v>2354</v>
      </c>
      <c r="K181" s="3">
        <v>25496.8</v>
      </c>
      <c r="L181" s="3">
        <v>31632.4</v>
      </c>
      <c r="M181" s="3">
        <f>L181-K181</f>
      </c>
      <c r="N181" s="4">
        <f>IF(K181=0,0,M181/K181)</f>
      </c>
      <c r="O181" s="2" t="s">
        <v>2355</v>
      </c>
      <c r="P181" s="2" t="s">
        <v>2356</v>
      </c>
      <c r="Q181" s="2" t="s">
        <v>2357</v>
      </c>
      <c r="R181" s="2" t="s">
        <v>2358</v>
      </c>
      <c r="S181" s="2" t="s">
        <v>2359</v>
      </c>
    </row>
    <row customHeight="true" ht="15" r="182">
      <c r="A182" s="2">
        <v>2024</v>
      </c>
      <c r="B182" s="2">
        <v>1</v>
      </c>
      <c r="C182" s="2" t="s">
        <v>2360</v>
      </c>
      <c r="D182" s="2" t="s">
        <v>2361</v>
      </c>
      <c r="E182" s="2" t="s">
        <v>2362</v>
      </c>
      <c r="F182" s="2" t="s">
        <v>2363</v>
      </c>
      <c r="G182" s="2" t="s">
        <v>2364</v>
      </c>
      <c r="H182" s="2" t="s">
        <v>2365</v>
      </c>
      <c r="I182" s="2" t="s">
        <v>2366</v>
      </c>
      <c r="J182" s="2" t="s">
        <v>2367</v>
      </c>
      <c r="K182" s="3">
        <v>30368.31</v>
      </c>
      <c r="L182" s="3">
        <v>30998.15</v>
      </c>
      <c r="M182" s="3">
        <f>L182-K182</f>
      </c>
      <c r="N182" s="4">
        <f>IF(K182=0,0,M182/K182)</f>
      </c>
      <c r="O182" s="2" t="s">
        <v>2368</v>
      </c>
      <c r="P182" s="2" t="s">
        <v>2369</v>
      </c>
      <c r="Q182" s="2" t="s">
        <v>2370</v>
      </c>
      <c r="R182" s="2" t="s">
        <v>2371</v>
      </c>
      <c r="S182" s="2" t="s">
        <v>2372</v>
      </c>
    </row>
    <row customHeight="true" ht="15" r="183">
      <c r="A183" s="2">
        <v>2024</v>
      </c>
      <c r="B183" s="2">
        <v>1</v>
      </c>
      <c r="C183" s="2" t="s">
        <v>2373</v>
      </c>
      <c r="D183" s="2" t="s">
        <v>2374</v>
      </c>
      <c r="E183" s="2" t="s">
        <v>2375</v>
      </c>
      <c r="F183" s="2" t="s">
        <v>2376</v>
      </c>
      <c r="G183" s="2" t="s">
        <v>2377</v>
      </c>
      <c r="H183" s="2" t="s">
        <v>2378</v>
      </c>
      <c r="I183" s="2" t="s">
        <v>2379</v>
      </c>
      <c r="J183" s="2" t="s">
        <v>2380</v>
      </c>
      <c r="K183" s="3">
        <v>208562.03</v>
      </c>
      <c r="L183" s="3">
        <v>224867.27</v>
      </c>
      <c r="M183" s="3">
        <f>L183-K183</f>
      </c>
      <c r="N183" s="4">
        <f>IF(K183=0,0,M183/K183)</f>
      </c>
      <c r="O183" s="2" t="s">
        <v>2381</v>
      </c>
      <c r="P183" s="2" t="s">
        <v>2382</v>
      </c>
      <c r="Q183" s="2" t="s">
        <v>2383</v>
      </c>
      <c r="R183" s="2" t="s">
        <v>2384</v>
      </c>
      <c r="S183" s="2" t="s">
        <v>2385</v>
      </c>
    </row>
    <row customHeight="true" ht="15" r="184">
      <c r="A184" s="2">
        <v>2024</v>
      </c>
      <c r="B184" s="2">
        <v>1</v>
      </c>
      <c r="C184" s="2" t="s">
        <v>2386</v>
      </c>
      <c r="D184" s="2" t="s">
        <v>2387</v>
      </c>
      <c r="E184" s="2" t="s">
        <v>2388</v>
      </c>
      <c r="F184" s="2" t="s">
        <v>2389</v>
      </c>
      <c r="G184" s="2" t="s">
        <v>2390</v>
      </c>
      <c r="H184" s="2" t="s">
        <v>2391</v>
      </c>
      <c r="I184" s="2" t="s">
        <v>2392</v>
      </c>
      <c r="J184" s="2" t="s">
        <v>2393</v>
      </c>
      <c r="K184" s="3">
        <v>181485.63</v>
      </c>
      <c r="L184" s="3">
        <v>195979.53</v>
      </c>
      <c r="M184" s="3">
        <f>L184-K184</f>
      </c>
      <c r="N184" s="4">
        <f>IF(K184=0,0,M184/K184)</f>
      </c>
      <c r="O184" s="2" t="s">
        <v>2394</v>
      </c>
      <c r="P184" s="2" t="s">
        <v>2395</v>
      </c>
      <c r="Q184" s="2" t="s">
        <v>2396</v>
      </c>
      <c r="R184" s="2" t="s">
        <v>2397</v>
      </c>
      <c r="S184" s="2" t="s">
        <v>2398</v>
      </c>
    </row>
    <row customHeight="true" ht="15" r="185">
      <c r="A185" s="2">
        <v>2024</v>
      </c>
      <c r="B185" s="2">
        <v>1</v>
      </c>
      <c r="C185" s="2" t="s">
        <v>2399</v>
      </c>
      <c r="D185" s="2" t="s">
        <v>2400</v>
      </c>
      <c r="E185" s="2" t="s">
        <v>2401</v>
      </c>
      <c r="F185" s="2" t="s">
        <v>2402</v>
      </c>
      <c r="G185" s="2" t="s">
        <v>2403</v>
      </c>
      <c r="H185" s="2" t="s">
        <v>2404</v>
      </c>
      <c r="I185" s="2" t="s">
        <v>2405</v>
      </c>
      <c r="J185" s="2" t="s">
        <v>2406</v>
      </c>
      <c r="K185" s="3">
        <v>194053.27</v>
      </c>
      <c r="L185" s="3">
        <v>179904.48</v>
      </c>
      <c r="M185" s="3">
        <f>L185-K185</f>
      </c>
      <c r="N185" s="4">
        <f>IF(K185=0,0,M185/K185)</f>
      </c>
      <c r="O185" s="2" t="s">
        <v>2407</v>
      </c>
      <c r="P185" s="2" t="s">
        <v>2408</v>
      </c>
      <c r="Q185" s="2" t="s">
        <v>2409</v>
      </c>
      <c r="R185" s="2" t="s">
        <v>2410</v>
      </c>
      <c r="S185" s="2" t="s">
        <v>2411</v>
      </c>
    </row>
    <row customHeight="true" ht="15" r="186">
      <c r="A186" s="2">
        <v>2024</v>
      </c>
      <c r="B186" s="2">
        <v>1</v>
      </c>
      <c r="C186" s="2" t="s">
        <v>2412</v>
      </c>
      <c r="D186" s="2" t="s">
        <v>2413</v>
      </c>
      <c r="E186" s="2" t="s">
        <v>2414</v>
      </c>
      <c r="F186" s="2" t="s">
        <v>2415</v>
      </c>
      <c r="G186" s="2" t="s">
        <v>2416</v>
      </c>
      <c r="H186" s="2" t="s">
        <v>2417</v>
      </c>
      <c r="I186" s="2" t="s">
        <v>2418</v>
      </c>
      <c r="J186" s="2" t="s">
        <v>2419</v>
      </c>
      <c r="K186" s="3">
        <v>61696.39</v>
      </c>
      <c r="L186" s="3">
        <v>73678.03</v>
      </c>
      <c r="M186" s="3">
        <f>L186-K186</f>
      </c>
      <c r="N186" s="4">
        <f>IF(K186=0,0,M186/K186)</f>
      </c>
      <c r="O186" s="2" t="s">
        <v>2420</v>
      </c>
      <c r="P186" s="2" t="s">
        <v>2421</v>
      </c>
      <c r="Q186" s="2" t="s">
        <v>2422</v>
      </c>
      <c r="R186" s="2" t="s">
        <v>2423</v>
      </c>
      <c r="S186" s="2" t="s">
        <v>2424</v>
      </c>
    </row>
    <row customHeight="true" ht="15" r="187">
      <c r="A187" s="2">
        <v>2024</v>
      </c>
      <c r="B187" s="2">
        <v>1</v>
      </c>
      <c r="C187" s="2" t="s">
        <v>2425</v>
      </c>
      <c r="D187" s="2" t="s">
        <v>2426</v>
      </c>
      <c r="E187" s="2" t="s">
        <v>2427</v>
      </c>
      <c r="F187" s="2" t="s">
        <v>2428</v>
      </c>
      <c r="G187" s="2" t="s">
        <v>2429</v>
      </c>
      <c r="H187" s="2" t="s">
        <v>2430</v>
      </c>
      <c r="I187" s="2" t="s">
        <v>2431</v>
      </c>
      <c r="J187" s="2" t="s">
        <v>2432</v>
      </c>
      <c r="K187" s="3">
        <v>177551.86</v>
      </c>
      <c r="L187" s="3">
        <v>193951.81</v>
      </c>
      <c r="M187" s="3">
        <f>L187-K187</f>
      </c>
      <c r="N187" s="4">
        <f>IF(K187=0,0,M187/K187)</f>
      </c>
      <c r="O187" s="2" t="s">
        <v>2433</v>
      </c>
      <c r="P187" s="2" t="s">
        <v>2434</v>
      </c>
      <c r="Q187" s="2" t="s">
        <v>2435</v>
      </c>
      <c r="R187" s="2" t="s">
        <v>2436</v>
      </c>
      <c r="S187" s="2" t="s">
        <v>2437</v>
      </c>
    </row>
    <row customHeight="true" ht="15" r="188">
      <c r="A188" s="2">
        <v>2024</v>
      </c>
      <c r="B188" s="2">
        <v>1</v>
      </c>
      <c r="C188" s="2" t="s">
        <v>2438</v>
      </c>
      <c r="D188" s="2" t="s">
        <v>2439</v>
      </c>
      <c r="E188" s="2" t="s">
        <v>2440</v>
      </c>
      <c r="F188" s="2" t="s">
        <v>2441</v>
      </c>
      <c r="G188" s="2" t="s">
        <v>2442</v>
      </c>
      <c r="H188" s="2" t="s">
        <v>2443</v>
      </c>
      <c r="I188" s="2" t="s">
        <v>2444</v>
      </c>
      <c r="J188" s="2" t="s">
        <v>2445</v>
      </c>
      <c r="K188" s="3">
        <v>151394.44</v>
      </c>
      <c r="L188" s="3">
        <v>179431.04</v>
      </c>
      <c r="M188" s="3">
        <f>L188-K188</f>
      </c>
      <c r="N188" s="4">
        <f>IF(K188=0,0,M188/K188)</f>
      </c>
      <c r="O188" s="2" t="s">
        <v>2446</v>
      </c>
      <c r="P188" s="2" t="s">
        <v>2447</v>
      </c>
      <c r="Q188" s="2" t="s">
        <v>2448</v>
      </c>
      <c r="R188" s="2" t="s">
        <v>2449</v>
      </c>
      <c r="S188" s="2" t="s">
        <v>2450</v>
      </c>
    </row>
    <row customHeight="true" ht="15" r="189">
      <c r="A189" s="2">
        <v>2024</v>
      </c>
      <c r="B189" s="2">
        <v>1</v>
      </c>
      <c r="C189" s="2" t="s">
        <v>2451</v>
      </c>
      <c r="D189" s="2" t="s">
        <v>2452</v>
      </c>
      <c r="E189" s="2" t="s">
        <v>2453</v>
      </c>
      <c r="F189" s="2" t="s">
        <v>2454</v>
      </c>
      <c r="G189" s="2" t="s">
        <v>2455</v>
      </c>
      <c r="H189" s="2" t="s">
        <v>2456</v>
      </c>
      <c r="I189" s="2" t="s">
        <v>2457</v>
      </c>
      <c r="J189" s="2" t="s">
        <v>2458</v>
      </c>
      <c r="K189" s="3">
        <v>106381.15</v>
      </c>
      <c r="L189" s="3">
        <v>110361.64</v>
      </c>
      <c r="M189" s="3">
        <f>L189-K189</f>
      </c>
      <c r="N189" s="4">
        <f>IF(K189=0,0,M189/K189)</f>
      </c>
      <c r="O189" s="2" t="s">
        <v>2459</v>
      </c>
      <c r="P189" s="2" t="s">
        <v>2460</v>
      </c>
      <c r="Q189" s="2" t="s">
        <v>2461</v>
      </c>
      <c r="R189" s="2" t="s">
        <v>2462</v>
      </c>
      <c r="S189" s="2" t="s">
        <v>2463</v>
      </c>
    </row>
    <row customHeight="true" ht="15" r="190">
      <c r="A190" s="2">
        <v>2024</v>
      </c>
      <c r="B190" s="2">
        <v>1</v>
      </c>
      <c r="C190" s="2" t="s">
        <v>2464</v>
      </c>
      <c r="D190" s="2" t="s">
        <v>2465</v>
      </c>
      <c r="E190" s="2" t="s">
        <v>2466</v>
      </c>
      <c r="F190" s="2" t="s">
        <v>2467</v>
      </c>
      <c r="G190" s="2" t="s">
        <v>2468</v>
      </c>
      <c r="H190" s="2" t="s">
        <v>2469</v>
      </c>
      <c r="I190" s="2" t="s">
        <v>2470</v>
      </c>
      <c r="J190" s="2" t="s">
        <v>2471</v>
      </c>
      <c r="K190" s="3">
        <v>31303.85</v>
      </c>
      <c r="L190" s="3">
        <v>28767.83</v>
      </c>
      <c r="M190" s="3">
        <f>L190-K190</f>
      </c>
      <c r="N190" s="4">
        <f>IF(K190=0,0,M190/K190)</f>
      </c>
      <c r="O190" s="2" t="s">
        <v>2472</v>
      </c>
      <c r="P190" s="2" t="s">
        <v>2473</v>
      </c>
      <c r="Q190" s="2" t="s">
        <v>2474</v>
      </c>
      <c r="R190" s="2" t="s">
        <v>2475</v>
      </c>
      <c r="S190" s="2" t="s">
        <v>2476</v>
      </c>
    </row>
    <row customHeight="true" ht="15" r="191">
      <c r="A191" s="2">
        <v>2024</v>
      </c>
      <c r="B191" s="2">
        <v>1</v>
      </c>
      <c r="C191" s="2" t="s">
        <v>2477</v>
      </c>
      <c r="D191" s="2" t="s">
        <v>2478</v>
      </c>
      <c r="E191" s="2" t="s">
        <v>2479</v>
      </c>
      <c r="F191" s="2" t="s">
        <v>2480</v>
      </c>
      <c r="G191" s="2" t="s">
        <v>2481</v>
      </c>
      <c r="H191" s="2" t="s">
        <v>2482</v>
      </c>
      <c r="I191" s="2" t="s">
        <v>2483</v>
      </c>
      <c r="J191" s="2" t="s">
        <v>2484</v>
      </c>
      <c r="K191" s="3">
        <v>429414.18</v>
      </c>
      <c r="L191" s="3">
        <v>439498.73</v>
      </c>
      <c r="M191" s="3">
        <f>L191-K191</f>
      </c>
      <c r="N191" s="4">
        <f>IF(K191=0,0,M191/K191)</f>
      </c>
      <c r="O191" s="2" t="s">
        <v>2485</v>
      </c>
      <c r="P191" s="2" t="s">
        <v>2486</v>
      </c>
      <c r="Q191" s="2" t="s">
        <v>2487</v>
      </c>
      <c r="R191" s="2" t="s">
        <v>2488</v>
      </c>
      <c r="S191" s="2" t="s">
        <v>2489</v>
      </c>
    </row>
    <row customHeight="true" ht="15" r="192">
      <c r="A192" s="2">
        <v>2024</v>
      </c>
      <c r="B192" s="2">
        <v>1</v>
      </c>
      <c r="C192" s="2" t="s">
        <v>2490</v>
      </c>
      <c r="D192" s="2" t="s">
        <v>2491</v>
      </c>
      <c r="E192" s="2" t="s">
        <v>2492</v>
      </c>
      <c r="F192" s="2" t="s">
        <v>2493</v>
      </c>
      <c r="G192" s="2" t="s">
        <v>2494</v>
      </c>
      <c r="H192" s="2" t="s">
        <v>2495</v>
      </c>
      <c r="I192" s="2" t="s">
        <v>2496</v>
      </c>
      <c r="J192" s="2" t="s">
        <v>2497</v>
      </c>
      <c r="K192" s="3">
        <v>112852.95</v>
      </c>
      <c r="L192" s="3">
        <v>127943.25</v>
      </c>
      <c r="M192" s="3">
        <f>L192-K192</f>
      </c>
      <c r="N192" s="4">
        <f>IF(K192=0,0,M192/K192)</f>
      </c>
      <c r="O192" s="2" t="s">
        <v>2498</v>
      </c>
      <c r="P192" s="2" t="s">
        <v>2499</v>
      </c>
      <c r="Q192" s="2" t="s">
        <v>2500</v>
      </c>
      <c r="R192" s="2" t="s">
        <v>2501</v>
      </c>
      <c r="S192" s="2" t="s">
        <v>2502</v>
      </c>
    </row>
    <row customHeight="true" ht="15" r="193">
      <c r="A193" s="2">
        <v>2024</v>
      </c>
      <c r="B193" s="2">
        <v>1</v>
      </c>
      <c r="C193" s="2" t="s">
        <v>2503</v>
      </c>
      <c r="D193" s="2" t="s">
        <v>2504</v>
      </c>
      <c r="E193" s="2" t="s">
        <v>2505</v>
      </c>
      <c r="F193" s="2" t="s">
        <v>2506</v>
      </c>
      <c r="G193" s="2" t="s">
        <v>2507</v>
      </c>
      <c r="H193" s="2" t="s">
        <v>2508</v>
      </c>
      <c r="I193" s="2" t="s">
        <v>2509</v>
      </c>
      <c r="J193" s="2" t="s">
        <v>2510</v>
      </c>
      <c r="K193" s="3">
        <v>463246.2</v>
      </c>
      <c r="L193" s="3">
        <v>403509.17</v>
      </c>
      <c r="M193" s="3">
        <f>L193-K193</f>
      </c>
      <c r="N193" s="4">
        <f>IF(K193=0,0,M193/K193)</f>
      </c>
      <c r="O193" s="2" t="s">
        <v>2511</v>
      </c>
      <c r="P193" s="2" t="s">
        <v>2512</v>
      </c>
      <c r="Q193" s="2" t="s">
        <v>2513</v>
      </c>
      <c r="R193" s="2" t="s">
        <v>2514</v>
      </c>
      <c r="S193" s="2" t="s">
        <v>2515</v>
      </c>
    </row>
    <row customHeight="true" ht="15" r="194">
      <c r="A194" s="2">
        <v>2024</v>
      </c>
      <c r="B194" s="2">
        <v>1</v>
      </c>
      <c r="C194" s="2" t="s">
        <v>2516</v>
      </c>
      <c r="D194" s="2" t="s">
        <v>2517</v>
      </c>
      <c r="E194" s="2" t="s">
        <v>2518</v>
      </c>
      <c r="F194" s="2" t="s">
        <v>2519</v>
      </c>
      <c r="G194" s="2" t="s">
        <v>2520</v>
      </c>
      <c r="H194" s="2" t="s">
        <v>2521</v>
      </c>
      <c r="I194" s="2" t="s">
        <v>2522</v>
      </c>
      <c r="J194" s="2" t="s">
        <v>2523</v>
      </c>
      <c r="K194" s="3">
        <v>102278.88</v>
      </c>
      <c r="L194" s="3">
        <v>89711.6</v>
      </c>
      <c r="M194" s="3">
        <f>L194-K194</f>
      </c>
      <c r="N194" s="4">
        <f>IF(K194=0,0,M194/K194)</f>
      </c>
      <c r="O194" s="2" t="s">
        <v>2524</v>
      </c>
      <c r="P194" s="2" t="s">
        <v>2525</v>
      </c>
      <c r="Q194" s="2" t="s">
        <v>2526</v>
      </c>
      <c r="R194" s="2" t="s">
        <v>2527</v>
      </c>
      <c r="S194" s="2" t="s">
        <v>2528</v>
      </c>
    </row>
    <row customHeight="true" ht="15" r="195">
      <c r="A195" s="2">
        <v>2024</v>
      </c>
      <c r="B195" s="2">
        <v>1</v>
      </c>
      <c r="C195" s="2" t="s">
        <v>2529</v>
      </c>
      <c r="D195" s="2" t="s">
        <v>2530</v>
      </c>
      <c r="E195" s="2" t="s">
        <v>2531</v>
      </c>
      <c r="F195" s="2" t="s">
        <v>2532</v>
      </c>
      <c r="G195" s="2" t="s">
        <v>2533</v>
      </c>
      <c r="H195" s="2" t="s">
        <v>2534</v>
      </c>
      <c r="I195" s="2" t="s">
        <v>2535</v>
      </c>
      <c r="J195" s="2" t="s">
        <v>2536</v>
      </c>
      <c r="K195" s="3">
        <v>30076.19</v>
      </c>
      <c r="L195" s="3">
        <v>34817.16</v>
      </c>
      <c r="M195" s="3">
        <f>L195-K195</f>
      </c>
      <c r="N195" s="4">
        <f>IF(K195=0,0,M195/K195)</f>
      </c>
      <c r="O195" s="2" t="s">
        <v>2537</v>
      </c>
      <c r="P195" s="2" t="s">
        <v>2538</v>
      </c>
      <c r="Q195" s="2" t="s">
        <v>2539</v>
      </c>
      <c r="R195" s="2" t="s">
        <v>2540</v>
      </c>
      <c r="S195" s="2" t="s">
        <v>2541</v>
      </c>
    </row>
    <row customHeight="true" ht="15" r="196">
      <c r="A196" s="2">
        <v>2024</v>
      </c>
      <c r="B196" s="2">
        <v>1</v>
      </c>
      <c r="C196" s="2" t="s">
        <v>2542</v>
      </c>
      <c r="D196" s="2" t="s">
        <v>2543</v>
      </c>
      <c r="E196" s="2" t="s">
        <v>2544</v>
      </c>
      <c r="F196" s="2" t="s">
        <v>2545</v>
      </c>
      <c r="G196" s="2" t="s">
        <v>2546</v>
      </c>
      <c r="H196" s="2" t="s">
        <v>2547</v>
      </c>
      <c r="I196" s="2" t="s">
        <v>2548</v>
      </c>
      <c r="J196" s="2" t="s">
        <v>2549</v>
      </c>
      <c r="K196" s="3">
        <v>79179.57</v>
      </c>
      <c r="L196" s="3">
        <v>72093.31</v>
      </c>
      <c r="M196" s="3">
        <f>L196-K196</f>
      </c>
      <c r="N196" s="4">
        <f>IF(K196=0,0,M196/K196)</f>
      </c>
      <c r="O196" s="2" t="s">
        <v>2550</v>
      </c>
      <c r="P196" s="2" t="s">
        <v>2551</v>
      </c>
      <c r="Q196" s="2" t="s">
        <v>2552</v>
      </c>
      <c r="R196" s="2" t="s">
        <v>2553</v>
      </c>
      <c r="S196" s="2" t="s">
        <v>2554</v>
      </c>
    </row>
    <row customHeight="true" ht="15" r="197">
      <c r="A197" s="2">
        <v>2024</v>
      </c>
      <c r="B197" s="2">
        <v>2</v>
      </c>
      <c r="C197" s="2" t="s">
        <v>2555</v>
      </c>
      <c r="D197" s="2" t="s">
        <v>2556</v>
      </c>
      <c r="E197" s="2" t="s">
        <v>2557</v>
      </c>
      <c r="F197" s="2" t="s">
        <v>2558</v>
      </c>
      <c r="G197" s="2" t="s">
        <v>2559</v>
      </c>
      <c r="H197" s="2" t="s">
        <v>2560</v>
      </c>
      <c r="I197" s="2" t="s">
        <v>2561</v>
      </c>
      <c r="J197" s="2" t="s">
        <v>2562</v>
      </c>
      <c r="K197" s="3">
        <v>159740.57</v>
      </c>
      <c r="L197" s="3">
        <v>151031</v>
      </c>
      <c r="M197" s="3">
        <f>L197-K197</f>
      </c>
      <c r="N197" s="4">
        <f>IF(K197=0,0,M197/K197)</f>
      </c>
      <c r="O197" s="2" t="s">
        <v>2563</v>
      </c>
      <c r="P197" s="2" t="s">
        <v>2564</v>
      </c>
      <c r="Q197" s="2" t="s">
        <v>2565</v>
      </c>
      <c r="R197" s="2" t="s">
        <v>2566</v>
      </c>
      <c r="S197" s="2" t="s">
        <v>2567</v>
      </c>
    </row>
    <row customHeight="true" ht="15" r="198">
      <c r="A198" s="2">
        <v>2024</v>
      </c>
      <c r="B198" s="2">
        <v>2</v>
      </c>
      <c r="C198" s="2" t="s">
        <v>2568</v>
      </c>
      <c r="D198" s="2" t="s">
        <v>2569</v>
      </c>
      <c r="E198" s="2" t="s">
        <v>2570</v>
      </c>
      <c r="F198" s="2" t="s">
        <v>2571</v>
      </c>
      <c r="G198" s="2" t="s">
        <v>2572</v>
      </c>
      <c r="H198" s="2" t="s">
        <v>2573</v>
      </c>
      <c r="I198" s="2" t="s">
        <v>2574</v>
      </c>
      <c r="J198" s="2" t="s">
        <v>2575</v>
      </c>
      <c r="K198" s="3">
        <v>112457.96</v>
      </c>
      <c r="L198" s="3">
        <v>104730.03</v>
      </c>
      <c r="M198" s="3">
        <f>L198-K198</f>
      </c>
      <c r="N198" s="4">
        <f>IF(K198=0,0,M198/K198)</f>
      </c>
      <c r="O198" s="2" t="s">
        <v>2576</v>
      </c>
      <c r="P198" s="2" t="s">
        <v>2577</v>
      </c>
      <c r="Q198" s="2" t="s">
        <v>2578</v>
      </c>
      <c r="R198" s="2" t="s">
        <v>2579</v>
      </c>
      <c r="S198" s="2" t="s">
        <v>2580</v>
      </c>
    </row>
    <row customHeight="true" ht="15" r="199">
      <c r="A199" s="2">
        <v>2024</v>
      </c>
      <c r="B199" s="2">
        <v>2</v>
      </c>
      <c r="C199" s="2" t="s">
        <v>2581</v>
      </c>
      <c r="D199" s="2" t="s">
        <v>2582</v>
      </c>
      <c r="E199" s="2" t="s">
        <v>2583</v>
      </c>
      <c r="F199" s="2" t="s">
        <v>2584</v>
      </c>
      <c r="G199" s="2" t="s">
        <v>2585</v>
      </c>
      <c r="H199" s="2" t="s">
        <v>2586</v>
      </c>
      <c r="I199" s="2" t="s">
        <v>2587</v>
      </c>
      <c r="J199" s="2" t="s">
        <v>2588</v>
      </c>
      <c r="K199" s="3">
        <v>168997.4</v>
      </c>
      <c r="L199" s="3">
        <v>170558.75</v>
      </c>
      <c r="M199" s="3">
        <f>L199-K199</f>
      </c>
      <c r="N199" s="4">
        <f>IF(K199=0,0,M199/K199)</f>
      </c>
      <c r="O199" s="2" t="s">
        <v>2589</v>
      </c>
      <c r="P199" s="2" t="s">
        <v>2590</v>
      </c>
      <c r="Q199" s="2" t="s">
        <v>2591</v>
      </c>
      <c r="R199" s="2" t="s">
        <v>2592</v>
      </c>
      <c r="S199" s="2" t="s">
        <v>2593</v>
      </c>
    </row>
    <row customHeight="true" ht="15" r="200">
      <c r="A200" s="2">
        <v>2024</v>
      </c>
      <c r="B200" s="2">
        <v>2</v>
      </c>
      <c r="C200" s="2" t="s">
        <v>2594</v>
      </c>
      <c r="D200" s="2" t="s">
        <v>2595</v>
      </c>
      <c r="E200" s="2" t="s">
        <v>2596</v>
      </c>
      <c r="F200" s="2" t="s">
        <v>2597</v>
      </c>
      <c r="G200" s="2" t="s">
        <v>2598</v>
      </c>
      <c r="H200" s="2" t="s">
        <v>2599</v>
      </c>
      <c r="I200" s="2" t="s">
        <v>2600</v>
      </c>
      <c r="J200" s="2" t="s">
        <v>2601</v>
      </c>
      <c r="K200" s="3">
        <v>24472.74</v>
      </c>
      <c r="L200" s="3">
        <v>27966.69</v>
      </c>
      <c r="M200" s="3">
        <f>L200-K200</f>
      </c>
      <c r="N200" s="4">
        <f>IF(K200=0,0,M200/K200)</f>
      </c>
      <c r="O200" s="2" t="s">
        <v>2602</v>
      </c>
      <c r="P200" s="2" t="s">
        <v>2603</v>
      </c>
      <c r="Q200" s="2" t="s">
        <v>2604</v>
      </c>
      <c r="R200" s="2" t="s">
        <v>2605</v>
      </c>
      <c r="S200" s="2" t="s">
        <v>2606</v>
      </c>
    </row>
    <row customHeight="true" ht="15" r="201">
      <c r="A201" s="2">
        <v>2024</v>
      </c>
      <c r="B201" s="2">
        <v>2</v>
      </c>
      <c r="C201" s="2" t="s">
        <v>2607</v>
      </c>
      <c r="D201" s="2" t="s">
        <v>2608</v>
      </c>
      <c r="E201" s="2" t="s">
        <v>2609</v>
      </c>
      <c r="F201" s="2" t="s">
        <v>2610</v>
      </c>
      <c r="G201" s="2" t="s">
        <v>2611</v>
      </c>
      <c r="H201" s="2" t="s">
        <v>2612</v>
      </c>
      <c r="I201" s="2" t="s">
        <v>2613</v>
      </c>
      <c r="J201" s="2" t="s">
        <v>2614</v>
      </c>
      <c r="K201" s="3">
        <v>375039.63</v>
      </c>
      <c r="L201" s="3">
        <v>416090.71</v>
      </c>
      <c r="M201" s="3">
        <f>L201-K201</f>
      </c>
      <c r="N201" s="4">
        <f>IF(K201=0,0,M201/K201)</f>
      </c>
      <c r="O201" s="2" t="s">
        <v>2615</v>
      </c>
      <c r="P201" s="2" t="s">
        <v>2616</v>
      </c>
      <c r="Q201" s="2" t="s">
        <v>2617</v>
      </c>
      <c r="R201" s="2" t="s">
        <v>2618</v>
      </c>
      <c r="S201" s="2" t="s">
        <v>2619</v>
      </c>
    </row>
    <row customHeight="true" ht="15" r="202">
      <c r="A202" s="2">
        <v>2024</v>
      </c>
      <c r="B202" s="2">
        <v>2</v>
      </c>
      <c r="C202" s="2" t="s">
        <v>2620</v>
      </c>
      <c r="D202" s="2" t="s">
        <v>2621</v>
      </c>
      <c r="E202" s="2" t="s">
        <v>2622</v>
      </c>
      <c r="F202" s="2" t="s">
        <v>2623</v>
      </c>
      <c r="G202" s="2" t="s">
        <v>2624</v>
      </c>
      <c r="H202" s="2" t="s">
        <v>2625</v>
      </c>
      <c r="I202" s="2" t="s">
        <v>2626</v>
      </c>
      <c r="J202" s="2" t="s">
        <v>2627</v>
      </c>
      <c r="K202" s="3">
        <v>142806.6</v>
      </c>
      <c r="L202" s="3">
        <v>161914.01</v>
      </c>
      <c r="M202" s="3">
        <f>L202-K202</f>
      </c>
      <c r="N202" s="4">
        <f>IF(K202=0,0,M202/K202)</f>
      </c>
      <c r="O202" s="2" t="s">
        <v>2628</v>
      </c>
      <c r="P202" s="2" t="s">
        <v>2629</v>
      </c>
      <c r="Q202" s="2" t="s">
        <v>2630</v>
      </c>
      <c r="R202" s="2" t="s">
        <v>2631</v>
      </c>
      <c r="S202" s="2" t="s">
        <v>2632</v>
      </c>
    </row>
    <row customHeight="true" ht="15" r="203">
      <c r="A203" s="2">
        <v>2024</v>
      </c>
      <c r="B203" s="2">
        <v>2</v>
      </c>
      <c r="C203" s="2" t="s">
        <v>2633</v>
      </c>
      <c r="D203" s="2" t="s">
        <v>2634</v>
      </c>
      <c r="E203" s="2" t="s">
        <v>2635</v>
      </c>
      <c r="F203" s="2" t="s">
        <v>2636</v>
      </c>
      <c r="G203" s="2" t="s">
        <v>2637</v>
      </c>
      <c r="H203" s="2" t="s">
        <v>2638</v>
      </c>
      <c r="I203" s="2" t="s">
        <v>2639</v>
      </c>
      <c r="J203" s="2" t="s">
        <v>2640</v>
      </c>
      <c r="K203" s="3">
        <v>150350.72</v>
      </c>
      <c r="L203" s="3">
        <v>147508.77</v>
      </c>
      <c r="M203" s="3">
        <f>L203-K203</f>
      </c>
      <c r="N203" s="4">
        <f>IF(K203=0,0,M203/K203)</f>
      </c>
      <c r="O203" s="2" t="s">
        <v>2641</v>
      </c>
      <c r="P203" s="2" t="s">
        <v>2642</v>
      </c>
      <c r="Q203" s="2" t="s">
        <v>2643</v>
      </c>
      <c r="R203" s="2" t="s">
        <v>2644</v>
      </c>
      <c r="S203" s="2" t="s">
        <v>2645</v>
      </c>
    </row>
    <row customHeight="true" ht="15" r="204">
      <c r="A204" s="2">
        <v>2024</v>
      </c>
      <c r="B204" s="2">
        <v>2</v>
      </c>
      <c r="C204" s="2" t="s">
        <v>2646</v>
      </c>
      <c r="D204" s="2" t="s">
        <v>2647</v>
      </c>
      <c r="E204" s="2" t="s">
        <v>2648</v>
      </c>
      <c r="F204" s="2" t="s">
        <v>2649</v>
      </c>
      <c r="G204" s="2" t="s">
        <v>2650</v>
      </c>
      <c r="H204" s="2" t="s">
        <v>2651</v>
      </c>
      <c r="I204" s="2" t="s">
        <v>2652</v>
      </c>
      <c r="J204" s="2" t="s">
        <v>2653</v>
      </c>
      <c r="K204" s="3">
        <v>410505.96</v>
      </c>
      <c r="L204" s="3">
        <v>390858.98</v>
      </c>
      <c r="M204" s="3">
        <f>L204-K204</f>
      </c>
      <c r="N204" s="4">
        <f>IF(K204=0,0,M204/K204)</f>
      </c>
      <c r="O204" s="2" t="s">
        <v>2654</v>
      </c>
      <c r="P204" s="2" t="s">
        <v>2655</v>
      </c>
      <c r="Q204" s="2" t="s">
        <v>2656</v>
      </c>
      <c r="R204" s="2" t="s">
        <v>2657</v>
      </c>
      <c r="S204" s="2" t="s">
        <v>2658</v>
      </c>
    </row>
    <row customHeight="true" ht="15" r="205">
      <c r="A205" s="2">
        <v>2024</v>
      </c>
      <c r="B205" s="2">
        <v>2</v>
      </c>
      <c r="C205" s="2" t="s">
        <v>2659</v>
      </c>
      <c r="D205" s="2" t="s">
        <v>2660</v>
      </c>
      <c r="E205" s="2" t="s">
        <v>2661</v>
      </c>
      <c r="F205" s="2" t="s">
        <v>2662</v>
      </c>
      <c r="G205" s="2" t="s">
        <v>2663</v>
      </c>
      <c r="H205" s="2" t="s">
        <v>2664</v>
      </c>
      <c r="I205" s="2" t="s">
        <v>2665</v>
      </c>
      <c r="J205" s="2" t="s">
        <v>2666</v>
      </c>
      <c r="K205" s="3">
        <v>90679.92</v>
      </c>
      <c r="L205" s="3">
        <v>102374.45</v>
      </c>
      <c r="M205" s="3">
        <f>L205-K205</f>
      </c>
      <c r="N205" s="4">
        <f>IF(K205=0,0,M205/K205)</f>
      </c>
      <c r="O205" s="2" t="s">
        <v>2667</v>
      </c>
      <c r="P205" s="2" t="s">
        <v>2668</v>
      </c>
      <c r="Q205" s="2" t="s">
        <v>2669</v>
      </c>
      <c r="R205" s="2" t="s">
        <v>2670</v>
      </c>
      <c r="S205" s="2" t="s">
        <v>2671</v>
      </c>
    </row>
    <row customHeight="true" ht="15" r="206">
      <c r="A206" s="2">
        <v>2024</v>
      </c>
      <c r="B206" s="2">
        <v>2</v>
      </c>
      <c r="C206" s="2" t="s">
        <v>2672</v>
      </c>
      <c r="D206" s="2" t="s">
        <v>2673</v>
      </c>
      <c r="E206" s="2" t="s">
        <v>2674</v>
      </c>
      <c r="F206" s="2" t="s">
        <v>2675</v>
      </c>
      <c r="G206" s="2" t="s">
        <v>2676</v>
      </c>
      <c r="H206" s="2" t="s">
        <v>2677</v>
      </c>
      <c r="I206" s="2" t="s">
        <v>2678</v>
      </c>
      <c r="J206" s="2" t="s">
        <v>2679</v>
      </c>
      <c r="K206" s="3">
        <v>206945.15</v>
      </c>
      <c r="L206" s="3">
        <v>243404.39</v>
      </c>
      <c r="M206" s="3">
        <f>L206-K206</f>
      </c>
      <c r="N206" s="4">
        <f>IF(K206=0,0,M206/K206)</f>
      </c>
      <c r="O206" s="2" t="s">
        <v>2680</v>
      </c>
      <c r="P206" s="2" t="s">
        <v>2681</v>
      </c>
      <c r="Q206" s="2" t="s">
        <v>2682</v>
      </c>
      <c r="R206" s="2" t="s">
        <v>2683</v>
      </c>
      <c r="S206" s="2" t="s">
        <v>2684</v>
      </c>
    </row>
    <row customHeight="true" ht="15" r="207">
      <c r="A207" s="2">
        <v>2024</v>
      </c>
      <c r="B207" s="2">
        <v>2</v>
      </c>
      <c r="C207" s="2" t="s">
        <v>2685</v>
      </c>
      <c r="D207" s="2" t="s">
        <v>2686</v>
      </c>
      <c r="E207" s="2" t="s">
        <v>2687</v>
      </c>
      <c r="F207" s="2" t="s">
        <v>2688</v>
      </c>
      <c r="G207" s="2" t="s">
        <v>2689</v>
      </c>
      <c r="H207" s="2" t="s">
        <v>2690</v>
      </c>
      <c r="I207" s="2" t="s">
        <v>2691</v>
      </c>
      <c r="J207" s="2" t="s">
        <v>2692</v>
      </c>
      <c r="K207" s="3">
        <v>157152.1</v>
      </c>
      <c r="L207" s="3">
        <v>160358</v>
      </c>
      <c r="M207" s="3">
        <f>L207-K207</f>
      </c>
      <c r="N207" s="4">
        <f>IF(K207=0,0,M207/K207)</f>
      </c>
      <c r="O207" s="2" t="s">
        <v>2693</v>
      </c>
      <c r="P207" s="2" t="s">
        <v>2694</v>
      </c>
      <c r="Q207" s="2" t="s">
        <v>2695</v>
      </c>
      <c r="R207" s="2" t="s">
        <v>2696</v>
      </c>
      <c r="S207" s="2" t="s">
        <v>2697</v>
      </c>
    </row>
    <row customHeight="true" ht="15" r="208">
      <c r="A208" s="2">
        <v>2024</v>
      </c>
      <c r="B208" s="2">
        <v>2</v>
      </c>
      <c r="C208" s="2" t="s">
        <v>2698</v>
      </c>
      <c r="D208" s="2" t="s">
        <v>2699</v>
      </c>
      <c r="E208" s="2" t="s">
        <v>2700</v>
      </c>
      <c r="F208" s="2" t="s">
        <v>2701</v>
      </c>
      <c r="G208" s="2" t="s">
        <v>2702</v>
      </c>
      <c r="H208" s="2" t="s">
        <v>2703</v>
      </c>
      <c r="I208" s="2" t="s">
        <v>2704</v>
      </c>
      <c r="J208" s="2" t="s">
        <v>2705</v>
      </c>
      <c r="K208" s="3">
        <v>75822.44</v>
      </c>
      <c r="L208" s="3">
        <v>88460.05</v>
      </c>
      <c r="M208" s="3">
        <f>L208-K208</f>
      </c>
      <c r="N208" s="4">
        <f>IF(K208=0,0,M208/K208)</f>
      </c>
      <c r="O208" s="2" t="s">
        <v>2706</v>
      </c>
      <c r="P208" s="2" t="s">
        <v>2707</v>
      </c>
      <c r="Q208" s="2" t="s">
        <v>2708</v>
      </c>
      <c r="R208" s="2" t="s">
        <v>2709</v>
      </c>
      <c r="S208" s="2" t="s">
        <v>2710</v>
      </c>
    </row>
    <row customHeight="true" ht="15" r="209">
      <c r="A209" s="2">
        <v>2024</v>
      </c>
      <c r="B209" s="2">
        <v>2</v>
      </c>
      <c r="C209" s="2" t="s">
        <v>2711</v>
      </c>
      <c r="D209" s="2" t="s">
        <v>2712</v>
      </c>
      <c r="E209" s="2" t="s">
        <v>2713</v>
      </c>
      <c r="F209" s="2" t="s">
        <v>2714</v>
      </c>
      <c r="G209" s="2" t="s">
        <v>2715</v>
      </c>
      <c r="H209" s="2" t="s">
        <v>2716</v>
      </c>
      <c r="I209" s="2" t="s">
        <v>2717</v>
      </c>
      <c r="J209" s="2" t="s">
        <v>2718</v>
      </c>
      <c r="K209" s="3">
        <v>29138.54</v>
      </c>
      <c r="L209" s="3">
        <v>23724.08</v>
      </c>
      <c r="M209" s="3">
        <f>L209-K209</f>
      </c>
      <c r="N209" s="4">
        <f>IF(K209=0,0,M209/K209)</f>
      </c>
      <c r="O209" s="2" t="s">
        <v>2719</v>
      </c>
      <c r="P209" s="2" t="s">
        <v>2720</v>
      </c>
      <c r="Q209" s="2" t="s">
        <v>2721</v>
      </c>
      <c r="R209" s="2" t="s">
        <v>2722</v>
      </c>
      <c r="S209" s="2" t="s">
        <v>2723</v>
      </c>
    </row>
    <row customHeight="true" ht="15" r="210">
      <c r="A210" s="2">
        <v>2024</v>
      </c>
      <c r="B210" s="2">
        <v>2</v>
      </c>
      <c r="C210" s="2" t="s">
        <v>2724</v>
      </c>
      <c r="D210" s="2" t="s">
        <v>2725</v>
      </c>
      <c r="E210" s="2" t="s">
        <v>2726</v>
      </c>
      <c r="F210" s="2" t="s">
        <v>2727</v>
      </c>
      <c r="G210" s="2" t="s">
        <v>2728</v>
      </c>
      <c r="H210" s="2" t="s">
        <v>2729</v>
      </c>
      <c r="I210" s="2" t="s">
        <v>2730</v>
      </c>
      <c r="J210" s="2" t="s">
        <v>2731</v>
      </c>
      <c r="K210" s="3">
        <v>498484.27</v>
      </c>
      <c r="L210" s="3">
        <v>408427.85</v>
      </c>
      <c r="M210" s="3">
        <f>L210-K210</f>
      </c>
      <c r="N210" s="4">
        <f>IF(K210=0,0,M210/K210)</f>
      </c>
      <c r="O210" s="2" t="s">
        <v>2732</v>
      </c>
      <c r="P210" s="2" t="s">
        <v>2733</v>
      </c>
      <c r="Q210" s="2" t="s">
        <v>2734</v>
      </c>
      <c r="R210" s="2" t="s">
        <v>2735</v>
      </c>
      <c r="S210" s="2" t="s">
        <v>2736</v>
      </c>
    </row>
    <row customHeight="true" ht="15" r="211">
      <c r="A211" s="2">
        <v>2024</v>
      </c>
      <c r="B211" s="2">
        <v>2</v>
      </c>
      <c r="C211" s="2" t="s">
        <v>2737</v>
      </c>
      <c r="D211" s="2" t="s">
        <v>2738</v>
      </c>
      <c r="E211" s="2" t="s">
        <v>2739</v>
      </c>
      <c r="F211" s="2" t="s">
        <v>2740</v>
      </c>
      <c r="G211" s="2" t="s">
        <v>2741</v>
      </c>
      <c r="H211" s="2" t="s">
        <v>2742</v>
      </c>
      <c r="I211" s="2" t="s">
        <v>2743</v>
      </c>
      <c r="J211" s="2" t="s">
        <v>2744</v>
      </c>
      <c r="K211" s="3">
        <v>173722.75</v>
      </c>
      <c r="L211" s="3">
        <v>192849.61</v>
      </c>
      <c r="M211" s="3">
        <f>L211-K211</f>
      </c>
      <c r="N211" s="4">
        <f>IF(K211=0,0,M211/K211)</f>
      </c>
      <c r="O211" s="2" t="s">
        <v>2745</v>
      </c>
      <c r="P211" s="2" t="s">
        <v>2746</v>
      </c>
      <c r="Q211" s="2" t="s">
        <v>2747</v>
      </c>
      <c r="R211" s="2" t="s">
        <v>2748</v>
      </c>
      <c r="S211" s="2" t="s">
        <v>2749</v>
      </c>
    </row>
    <row customHeight="true" ht="15" r="212">
      <c r="A212" s="2">
        <v>2024</v>
      </c>
      <c r="B212" s="2">
        <v>3</v>
      </c>
      <c r="C212" s="2" t="s">
        <v>2750</v>
      </c>
      <c r="D212" s="2" t="s">
        <v>2751</v>
      </c>
      <c r="E212" s="2" t="s">
        <v>2752</v>
      </c>
      <c r="F212" s="2" t="s">
        <v>2753</v>
      </c>
      <c r="G212" s="2" t="s">
        <v>2754</v>
      </c>
      <c r="H212" s="2" t="s">
        <v>2755</v>
      </c>
      <c r="I212" s="2" t="s">
        <v>2756</v>
      </c>
      <c r="J212" s="2" t="s">
        <v>2757</v>
      </c>
      <c r="K212" s="3">
        <v>365184.19</v>
      </c>
      <c r="L212" s="3">
        <v>347847.78</v>
      </c>
      <c r="M212" s="3">
        <f>L212-K212</f>
      </c>
      <c r="N212" s="4">
        <f>IF(K212=0,0,M212/K212)</f>
      </c>
      <c r="O212" s="2" t="s">
        <v>2758</v>
      </c>
      <c r="P212" s="2" t="s">
        <v>2759</v>
      </c>
      <c r="Q212" s="2" t="s">
        <v>2760</v>
      </c>
      <c r="R212" s="2" t="s">
        <v>2761</v>
      </c>
      <c r="S212" s="2" t="s">
        <v>2762</v>
      </c>
    </row>
    <row customHeight="true" ht="15" r="213">
      <c r="A213" s="2">
        <v>2024</v>
      </c>
      <c r="B213" s="2">
        <v>3</v>
      </c>
      <c r="C213" s="2" t="s">
        <v>2763</v>
      </c>
      <c r="D213" s="2" t="s">
        <v>2764</v>
      </c>
      <c r="E213" s="2" t="s">
        <v>2765</v>
      </c>
      <c r="F213" s="2" t="s">
        <v>2766</v>
      </c>
      <c r="G213" s="2" t="s">
        <v>2767</v>
      </c>
      <c r="H213" s="2" t="s">
        <v>2768</v>
      </c>
      <c r="I213" s="2" t="s">
        <v>2769</v>
      </c>
      <c r="J213" s="2" t="s">
        <v>2770</v>
      </c>
      <c r="K213" s="3">
        <v>28599.3</v>
      </c>
      <c r="L213" s="3">
        <v>29781.41</v>
      </c>
      <c r="M213" s="3">
        <f>L213-K213</f>
      </c>
      <c r="N213" s="4">
        <f>IF(K213=0,0,M213/K213)</f>
      </c>
      <c r="O213" s="2" t="s">
        <v>2771</v>
      </c>
      <c r="P213" s="2" t="s">
        <v>2772</v>
      </c>
      <c r="Q213" s="2" t="s">
        <v>2773</v>
      </c>
      <c r="R213" s="2" t="s">
        <v>2774</v>
      </c>
      <c r="S213" s="2" t="s">
        <v>2775</v>
      </c>
    </row>
    <row customHeight="true" ht="15" r="214">
      <c r="A214" s="2">
        <v>2024</v>
      </c>
      <c r="B214" s="2">
        <v>3</v>
      </c>
      <c r="C214" s="2" t="s">
        <v>2776</v>
      </c>
      <c r="D214" s="2" t="s">
        <v>2777</v>
      </c>
      <c r="E214" s="2" t="s">
        <v>2778</v>
      </c>
      <c r="F214" s="2" t="s">
        <v>2779</v>
      </c>
      <c r="G214" s="2" t="s">
        <v>2780</v>
      </c>
      <c r="H214" s="2" t="s">
        <v>2781</v>
      </c>
      <c r="I214" s="2" t="s">
        <v>2782</v>
      </c>
      <c r="J214" s="2" t="s">
        <v>2783</v>
      </c>
      <c r="K214" s="3">
        <v>43994.51</v>
      </c>
      <c r="L214" s="3">
        <v>50514.7</v>
      </c>
      <c r="M214" s="3">
        <f>L214-K214</f>
      </c>
      <c r="N214" s="4">
        <f>IF(K214=0,0,M214/K214)</f>
      </c>
      <c r="O214" s="2" t="s">
        <v>2784</v>
      </c>
      <c r="P214" s="2" t="s">
        <v>2785</v>
      </c>
      <c r="Q214" s="2" t="s">
        <v>2786</v>
      </c>
      <c r="R214" s="2" t="s">
        <v>2787</v>
      </c>
      <c r="S214" s="2" t="s">
        <v>2788</v>
      </c>
    </row>
    <row customHeight="true" ht="15" r="215">
      <c r="A215" s="2">
        <v>2024</v>
      </c>
      <c r="B215" s="2">
        <v>3</v>
      </c>
      <c r="C215" s="2" t="s">
        <v>2789</v>
      </c>
      <c r="D215" s="2" t="s">
        <v>2790</v>
      </c>
      <c r="E215" s="2" t="s">
        <v>2791</v>
      </c>
      <c r="F215" s="2" t="s">
        <v>2792</v>
      </c>
      <c r="G215" s="2" t="s">
        <v>2793</v>
      </c>
      <c r="H215" s="2" t="s">
        <v>2794</v>
      </c>
      <c r="I215" s="2" t="s">
        <v>2795</v>
      </c>
      <c r="J215" s="2" t="s">
        <v>2796</v>
      </c>
      <c r="K215" s="3">
        <v>335987.8</v>
      </c>
      <c r="L215" s="3">
        <v>271165.19</v>
      </c>
      <c r="M215" s="3">
        <f>L215-K215</f>
      </c>
      <c r="N215" s="4">
        <f>IF(K215=0,0,M215/K215)</f>
      </c>
      <c r="O215" s="2" t="s">
        <v>2797</v>
      </c>
      <c r="P215" s="2" t="s">
        <v>2798</v>
      </c>
      <c r="Q215" s="2" t="s">
        <v>2799</v>
      </c>
      <c r="R215" s="2" t="s">
        <v>2800</v>
      </c>
      <c r="S215" s="2" t="s">
        <v>2801</v>
      </c>
    </row>
    <row customHeight="true" ht="15" r="216">
      <c r="A216" s="2">
        <v>2024</v>
      </c>
      <c r="B216" s="2">
        <v>3</v>
      </c>
      <c r="C216" s="2" t="s">
        <v>2802</v>
      </c>
      <c r="D216" s="2" t="s">
        <v>2803</v>
      </c>
      <c r="E216" s="2" t="s">
        <v>2804</v>
      </c>
      <c r="F216" s="2" t="s">
        <v>2805</v>
      </c>
      <c r="G216" s="2" t="s">
        <v>2806</v>
      </c>
      <c r="H216" s="2" t="s">
        <v>2807</v>
      </c>
      <c r="I216" s="2" t="s">
        <v>2808</v>
      </c>
      <c r="J216" s="2" t="s">
        <v>2809</v>
      </c>
      <c r="K216" s="3">
        <v>28091.42</v>
      </c>
      <c r="L216" s="3">
        <v>27860.12</v>
      </c>
      <c r="M216" s="3">
        <f>L216-K216</f>
      </c>
      <c r="N216" s="4">
        <f>IF(K216=0,0,M216/K216)</f>
      </c>
      <c r="O216" s="2" t="s">
        <v>2810</v>
      </c>
      <c r="P216" s="2" t="s">
        <v>2811</v>
      </c>
      <c r="Q216" s="2" t="s">
        <v>2812</v>
      </c>
      <c r="R216" s="2" t="s">
        <v>2813</v>
      </c>
      <c r="S216" s="2" t="s">
        <v>2814</v>
      </c>
    </row>
    <row customHeight="true" ht="15" r="217">
      <c r="A217" s="2">
        <v>2024</v>
      </c>
      <c r="B217" s="2">
        <v>3</v>
      </c>
      <c r="C217" s="2" t="s">
        <v>2815</v>
      </c>
      <c r="D217" s="2" t="s">
        <v>2816</v>
      </c>
      <c r="E217" s="2" t="s">
        <v>2817</v>
      </c>
      <c r="F217" s="2" t="s">
        <v>2818</v>
      </c>
      <c r="G217" s="2" t="s">
        <v>2819</v>
      </c>
      <c r="H217" s="2" t="s">
        <v>2820</v>
      </c>
      <c r="I217" s="2" t="s">
        <v>2821</v>
      </c>
      <c r="J217" s="2" t="s">
        <v>2822</v>
      </c>
      <c r="K217" s="3">
        <v>14984.06</v>
      </c>
      <c r="L217" s="3">
        <v>14937.22</v>
      </c>
      <c r="M217" s="3">
        <f>L217-K217</f>
      </c>
      <c r="N217" s="4">
        <f>IF(K217=0,0,M217/K217)</f>
      </c>
      <c r="O217" s="2" t="s">
        <v>2823</v>
      </c>
      <c r="P217" s="2" t="s">
        <v>2824</v>
      </c>
      <c r="Q217" s="2" t="s">
        <v>2825</v>
      </c>
      <c r="R217" s="2" t="s">
        <v>2826</v>
      </c>
      <c r="S217" s="2" t="s">
        <v>2827</v>
      </c>
    </row>
    <row customHeight="true" ht="15" r="218">
      <c r="A218" s="2">
        <v>2024</v>
      </c>
      <c r="B218" s="2">
        <v>3</v>
      </c>
      <c r="C218" s="2" t="s">
        <v>2828</v>
      </c>
      <c r="D218" s="2" t="s">
        <v>2829</v>
      </c>
      <c r="E218" s="2" t="s">
        <v>2830</v>
      </c>
      <c r="F218" s="2" t="s">
        <v>2831</v>
      </c>
      <c r="G218" s="2" t="s">
        <v>2832</v>
      </c>
      <c r="H218" s="2" t="s">
        <v>2833</v>
      </c>
      <c r="I218" s="2" t="s">
        <v>2834</v>
      </c>
      <c r="J218" s="2" t="s">
        <v>2835</v>
      </c>
      <c r="K218" s="3">
        <v>172523.15</v>
      </c>
      <c r="L218" s="3">
        <v>195260.32</v>
      </c>
      <c r="M218" s="3">
        <f>L218-K218</f>
      </c>
      <c r="N218" s="4">
        <f>IF(K218=0,0,M218/K218)</f>
      </c>
      <c r="O218" s="2" t="s">
        <v>2836</v>
      </c>
      <c r="P218" s="2" t="s">
        <v>2837</v>
      </c>
      <c r="Q218" s="2" t="s">
        <v>2838</v>
      </c>
      <c r="R218" s="2" t="s">
        <v>2839</v>
      </c>
      <c r="S218" s="2" t="s">
        <v>2840</v>
      </c>
    </row>
    <row customHeight="true" ht="15" r="219">
      <c r="A219" s="2">
        <v>2024</v>
      </c>
      <c r="B219" s="2">
        <v>3</v>
      </c>
      <c r="C219" s="2" t="s">
        <v>2841</v>
      </c>
      <c r="D219" s="2" t="s">
        <v>2842</v>
      </c>
      <c r="E219" s="2" t="s">
        <v>2843</v>
      </c>
      <c r="F219" s="2" t="s">
        <v>2844</v>
      </c>
      <c r="G219" s="2" t="s">
        <v>2845</v>
      </c>
      <c r="H219" s="2" t="s">
        <v>2846</v>
      </c>
      <c r="I219" s="2" t="s">
        <v>2847</v>
      </c>
      <c r="J219" s="2" t="s">
        <v>2848</v>
      </c>
      <c r="K219" s="3">
        <v>126623.06</v>
      </c>
      <c r="L219" s="3">
        <v>154457.5</v>
      </c>
      <c r="M219" s="3">
        <f>L219-K219</f>
      </c>
      <c r="N219" s="4">
        <f>IF(K219=0,0,M219/K219)</f>
      </c>
      <c r="O219" s="2" t="s">
        <v>2849</v>
      </c>
      <c r="P219" s="2" t="s">
        <v>2850</v>
      </c>
      <c r="Q219" s="2" t="s">
        <v>2851</v>
      </c>
      <c r="R219" s="2" t="s">
        <v>2852</v>
      </c>
      <c r="S219" s="2" t="s">
        <v>2853</v>
      </c>
    </row>
    <row customHeight="true" ht="15" r="220">
      <c r="A220" s="2">
        <v>2024</v>
      </c>
      <c r="B220" s="2">
        <v>3</v>
      </c>
      <c r="C220" s="2" t="s">
        <v>2854</v>
      </c>
      <c r="D220" s="2" t="s">
        <v>2855</v>
      </c>
      <c r="E220" s="2" t="s">
        <v>2856</v>
      </c>
      <c r="F220" s="2" t="s">
        <v>2857</v>
      </c>
      <c r="G220" s="2" t="s">
        <v>2858</v>
      </c>
      <c r="H220" s="2" t="s">
        <v>2859</v>
      </c>
      <c r="I220" s="2" t="s">
        <v>2860</v>
      </c>
      <c r="J220" s="2" t="s">
        <v>2861</v>
      </c>
      <c r="K220" s="3">
        <v>24040.68</v>
      </c>
      <c r="L220" s="3">
        <v>29222.18</v>
      </c>
      <c r="M220" s="3">
        <f>L220-K220</f>
      </c>
      <c r="N220" s="4">
        <f>IF(K220=0,0,M220/K220)</f>
      </c>
      <c r="O220" s="2" t="s">
        <v>2862</v>
      </c>
      <c r="P220" s="2" t="s">
        <v>2863</v>
      </c>
      <c r="Q220" s="2" t="s">
        <v>2864</v>
      </c>
      <c r="R220" s="2" t="s">
        <v>2865</v>
      </c>
      <c r="S220" s="2" t="s">
        <v>2866</v>
      </c>
    </row>
    <row customHeight="true" ht="15" r="221">
      <c r="A221" s="2">
        <v>2024</v>
      </c>
      <c r="B221" s="2">
        <v>3</v>
      </c>
      <c r="C221" s="2" t="s">
        <v>2867</v>
      </c>
      <c r="D221" s="2" t="s">
        <v>2868</v>
      </c>
      <c r="E221" s="2" t="s">
        <v>2869</v>
      </c>
      <c r="F221" s="2" t="s">
        <v>2870</v>
      </c>
      <c r="G221" s="2" t="s">
        <v>2871</v>
      </c>
      <c r="H221" s="2" t="s">
        <v>2872</v>
      </c>
      <c r="I221" s="2" t="s">
        <v>2873</v>
      </c>
      <c r="J221" s="2" t="s">
        <v>2874</v>
      </c>
      <c r="K221" s="3">
        <v>42927.09</v>
      </c>
      <c r="L221" s="3">
        <v>54849.22</v>
      </c>
      <c r="M221" s="3">
        <f>L221-K221</f>
      </c>
      <c r="N221" s="4">
        <f>IF(K221=0,0,M221/K221)</f>
      </c>
      <c r="O221" s="2" t="s">
        <v>2875</v>
      </c>
      <c r="P221" s="2" t="s">
        <v>2876</v>
      </c>
      <c r="Q221" s="2" t="s">
        <v>2877</v>
      </c>
      <c r="R221" s="2" t="s">
        <v>2878</v>
      </c>
      <c r="S221" s="2" t="s">
        <v>2879</v>
      </c>
    </row>
    <row customHeight="true" ht="15" r="222">
      <c r="A222" s="2">
        <v>2024</v>
      </c>
      <c r="B222" s="2">
        <v>3</v>
      </c>
      <c r="C222" s="2" t="s">
        <v>2880</v>
      </c>
      <c r="D222" s="2" t="s">
        <v>2881</v>
      </c>
      <c r="E222" s="2" t="s">
        <v>2882</v>
      </c>
      <c r="F222" s="2" t="s">
        <v>2883</v>
      </c>
      <c r="G222" s="2" t="s">
        <v>2884</v>
      </c>
      <c r="H222" s="2" t="s">
        <v>2885</v>
      </c>
      <c r="I222" s="2" t="s">
        <v>2886</v>
      </c>
      <c r="J222" s="2" t="s">
        <v>2887</v>
      </c>
      <c r="K222" s="3">
        <v>84544.79</v>
      </c>
      <c r="L222" s="3">
        <v>98641.08</v>
      </c>
      <c r="M222" s="3">
        <f>L222-K222</f>
      </c>
      <c r="N222" s="4">
        <f>IF(K222=0,0,M222/K222)</f>
      </c>
      <c r="O222" s="2" t="s">
        <v>2888</v>
      </c>
      <c r="P222" s="2" t="s">
        <v>2889</v>
      </c>
      <c r="Q222" s="2" t="s">
        <v>2890</v>
      </c>
      <c r="R222" s="2" t="s">
        <v>2891</v>
      </c>
      <c r="S222" s="2" t="s">
        <v>2892</v>
      </c>
    </row>
    <row customHeight="true" ht="15" r="223">
      <c r="A223" s="2">
        <v>2024</v>
      </c>
      <c r="B223" s="2">
        <v>3</v>
      </c>
      <c r="C223" s="2" t="s">
        <v>2893</v>
      </c>
      <c r="D223" s="2" t="s">
        <v>2894</v>
      </c>
      <c r="E223" s="2" t="s">
        <v>2895</v>
      </c>
      <c r="F223" s="2" t="s">
        <v>2896</v>
      </c>
      <c r="G223" s="2" t="s">
        <v>2897</v>
      </c>
      <c r="H223" s="2" t="s">
        <v>2898</v>
      </c>
      <c r="I223" s="2" t="s">
        <v>2899</v>
      </c>
      <c r="J223" s="2" t="s">
        <v>2900</v>
      </c>
      <c r="K223" s="3">
        <v>76531.14</v>
      </c>
      <c r="L223" s="3">
        <v>74120.79</v>
      </c>
      <c r="M223" s="3">
        <f>L223-K223</f>
      </c>
      <c r="N223" s="4">
        <f>IF(K223=0,0,M223/K223)</f>
      </c>
      <c r="O223" s="2" t="s">
        <v>2901</v>
      </c>
      <c r="P223" s="2" t="s">
        <v>2902</v>
      </c>
      <c r="Q223" s="2" t="s">
        <v>2903</v>
      </c>
      <c r="R223" s="2" t="s">
        <v>2904</v>
      </c>
      <c r="S223" s="2" t="s">
        <v>2905</v>
      </c>
    </row>
    <row customHeight="true" ht="15" r="224">
      <c r="A224" s="2">
        <v>2024</v>
      </c>
      <c r="B224" s="2">
        <v>3</v>
      </c>
      <c r="C224" s="2" t="s">
        <v>2906</v>
      </c>
      <c r="D224" s="2" t="s">
        <v>2907</v>
      </c>
      <c r="E224" s="2" t="s">
        <v>2908</v>
      </c>
      <c r="F224" s="2" t="s">
        <v>2909</v>
      </c>
      <c r="G224" s="2" t="s">
        <v>2910</v>
      </c>
      <c r="H224" s="2" t="s">
        <v>2911</v>
      </c>
      <c r="I224" s="2" t="s">
        <v>2912</v>
      </c>
      <c r="J224" s="2" t="s">
        <v>2913</v>
      </c>
      <c r="K224" s="3">
        <v>65011.63</v>
      </c>
      <c r="L224" s="3">
        <v>61724.37</v>
      </c>
      <c r="M224" s="3">
        <f>L224-K224</f>
      </c>
      <c r="N224" s="4">
        <f>IF(K224=0,0,M224/K224)</f>
      </c>
      <c r="O224" s="2" t="s">
        <v>2914</v>
      </c>
      <c r="P224" s="2" t="s">
        <v>2915</v>
      </c>
      <c r="Q224" s="2" t="s">
        <v>2916</v>
      </c>
      <c r="R224" s="2" t="s">
        <v>2917</v>
      </c>
      <c r="S224" s="2" t="s">
        <v>2918</v>
      </c>
    </row>
    <row customHeight="true" ht="15" r="225">
      <c r="A225" s="2">
        <v>2024</v>
      </c>
      <c r="B225" s="2">
        <v>3</v>
      </c>
      <c r="C225" s="2" t="s">
        <v>2919</v>
      </c>
      <c r="D225" s="2" t="s">
        <v>2920</v>
      </c>
      <c r="E225" s="2" t="s">
        <v>2921</v>
      </c>
      <c r="F225" s="2" t="s">
        <v>2922</v>
      </c>
      <c r="G225" s="2" t="s">
        <v>2923</v>
      </c>
      <c r="H225" s="2" t="s">
        <v>2924</v>
      </c>
      <c r="I225" s="2" t="s">
        <v>2925</v>
      </c>
      <c r="J225" s="2" t="s">
        <v>2926</v>
      </c>
      <c r="K225" s="3">
        <v>81356.52</v>
      </c>
      <c r="L225" s="3">
        <v>65785.74</v>
      </c>
      <c r="M225" s="3">
        <f>L225-K225</f>
      </c>
      <c r="N225" s="4">
        <f>IF(K225=0,0,M225/K225)</f>
      </c>
      <c r="O225" s="2" t="s">
        <v>2927</v>
      </c>
      <c r="P225" s="2" t="s">
        <v>2928</v>
      </c>
      <c r="Q225" s="2" t="s">
        <v>2929</v>
      </c>
      <c r="R225" s="2" t="s">
        <v>2930</v>
      </c>
      <c r="S225" s="2" t="s">
        <v>2931</v>
      </c>
    </row>
    <row customHeight="true" ht="15" r="226">
      <c r="A226" s="2">
        <v>2024</v>
      </c>
      <c r="B226" s="2">
        <v>3</v>
      </c>
      <c r="C226" s="2" t="s">
        <v>2932</v>
      </c>
      <c r="D226" s="2" t="s">
        <v>2933</v>
      </c>
      <c r="E226" s="2" t="s">
        <v>2934</v>
      </c>
      <c r="F226" s="2" t="s">
        <v>2935</v>
      </c>
      <c r="G226" s="2" t="s">
        <v>2936</v>
      </c>
      <c r="H226" s="2" t="s">
        <v>2937</v>
      </c>
      <c r="I226" s="2" t="s">
        <v>2938</v>
      </c>
      <c r="J226" s="2" t="s">
        <v>2939</v>
      </c>
      <c r="K226" s="3">
        <v>43537.04</v>
      </c>
      <c r="L226" s="3">
        <v>47719.51</v>
      </c>
      <c r="M226" s="3">
        <f>L226-K226</f>
      </c>
      <c r="N226" s="4">
        <f>IF(K226=0,0,M226/K226)</f>
      </c>
      <c r="O226" s="2" t="s">
        <v>2940</v>
      </c>
      <c r="P226" s="2" t="s">
        <v>2941</v>
      </c>
      <c r="Q226" s="2" t="s">
        <v>2942</v>
      </c>
      <c r="R226" s="2" t="s">
        <v>2943</v>
      </c>
      <c r="S226" s="2" t="s">
        <v>2944</v>
      </c>
    </row>
    <row customHeight="true" ht="15" r="227">
      <c r="A227" s="2">
        <v>2024</v>
      </c>
      <c r="B227" s="2">
        <v>4</v>
      </c>
      <c r="C227" s="2" t="s">
        <v>2945</v>
      </c>
      <c r="D227" s="2" t="s">
        <v>2946</v>
      </c>
      <c r="E227" s="2" t="s">
        <v>2947</v>
      </c>
      <c r="F227" s="2" t="s">
        <v>2948</v>
      </c>
      <c r="G227" s="2" t="s">
        <v>2949</v>
      </c>
      <c r="H227" s="2" t="s">
        <v>2950</v>
      </c>
      <c r="I227" s="2" t="s">
        <v>2951</v>
      </c>
      <c r="J227" s="2" t="s">
        <v>2952</v>
      </c>
      <c r="K227" s="3">
        <v>68803.12</v>
      </c>
      <c r="L227" s="3">
        <v>66751.49</v>
      </c>
      <c r="M227" s="3">
        <f>L227-K227</f>
      </c>
      <c r="N227" s="4">
        <f>IF(K227=0,0,M227/K227)</f>
      </c>
      <c r="O227" s="2" t="s">
        <v>2953</v>
      </c>
      <c r="P227" s="2" t="s">
        <v>2954</v>
      </c>
      <c r="Q227" s="2" t="s">
        <v>2955</v>
      </c>
      <c r="R227" s="2" t="s">
        <v>2956</v>
      </c>
      <c r="S227" s="2" t="s">
        <v>2957</v>
      </c>
    </row>
    <row customHeight="true" ht="15" r="228">
      <c r="A228" s="2">
        <v>2024</v>
      </c>
      <c r="B228" s="2">
        <v>4</v>
      </c>
      <c r="C228" s="2" t="s">
        <v>2958</v>
      </c>
      <c r="D228" s="2" t="s">
        <v>2959</v>
      </c>
      <c r="E228" s="2" t="s">
        <v>2960</v>
      </c>
      <c r="F228" s="2" t="s">
        <v>2961</v>
      </c>
      <c r="G228" s="2" t="s">
        <v>2962</v>
      </c>
      <c r="H228" s="2" t="s">
        <v>2963</v>
      </c>
      <c r="I228" s="2" t="s">
        <v>2964</v>
      </c>
      <c r="J228" s="2" t="s">
        <v>2965</v>
      </c>
      <c r="K228" s="3">
        <v>123987.06</v>
      </c>
      <c r="L228" s="3">
        <v>150887.26</v>
      </c>
      <c r="M228" s="3">
        <f>L228-K228</f>
      </c>
      <c r="N228" s="4">
        <f>IF(K228=0,0,M228/K228)</f>
      </c>
      <c r="O228" s="2" t="s">
        <v>2966</v>
      </c>
      <c r="P228" s="2" t="s">
        <v>2967</v>
      </c>
      <c r="Q228" s="2" t="s">
        <v>2968</v>
      </c>
      <c r="R228" s="2" t="s">
        <v>2969</v>
      </c>
      <c r="S228" s="2" t="s">
        <v>2970</v>
      </c>
    </row>
    <row customHeight="true" ht="15" r="229">
      <c r="A229" s="2">
        <v>2024</v>
      </c>
      <c r="B229" s="2">
        <v>4</v>
      </c>
      <c r="C229" s="2" t="s">
        <v>2971</v>
      </c>
      <c r="D229" s="2" t="s">
        <v>2972</v>
      </c>
      <c r="E229" s="2" t="s">
        <v>2973</v>
      </c>
      <c r="F229" s="2" t="s">
        <v>2974</v>
      </c>
      <c r="G229" s="2" t="s">
        <v>2975</v>
      </c>
      <c r="H229" s="2" t="s">
        <v>2976</v>
      </c>
      <c r="I229" s="2" t="s">
        <v>2977</v>
      </c>
      <c r="J229" s="2" t="s">
        <v>2978</v>
      </c>
      <c r="K229" s="3">
        <v>165515.78</v>
      </c>
      <c r="L229" s="3">
        <v>173087.71</v>
      </c>
      <c r="M229" s="3">
        <f>L229-K229</f>
      </c>
      <c r="N229" s="4">
        <f>IF(K229=0,0,M229/K229)</f>
      </c>
      <c r="O229" s="2" t="s">
        <v>2979</v>
      </c>
      <c r="P229" s="2" t="s">
        <v>2980</v>
      </c>
      <c r="Q229" s="2" t="s">
        <v>2981</v>
      </c>
      <c r="R229" s="2" t="s">
        <v>2982</v>
      </c>
      <c r="S229" s="2" t="s">
        <v>2983</v>
      </c>
    </row>
    <row customHeight="true" ht="15" r="230">
      <c r="A230" s="2">
        <v>2024</v>
      </c>
      <c r="B230" s="2">
        <v>4</v>
      </c>
      <c r="C230" s="2" t="s">
        <v>2984</v>
      </c>
      <c r="D230" s="2" t="s">
        <v>2985</v>
      </c>
      <c r="E230" s="2" t="s">
        <v>2986</v>
      </c>
      <c r="F230" s="2" t="s">
        <v>2987</v>
      </c>
      <c r="G230" s="2" t="s">
        <v>2988</v>
      </c>
      <c r="H230" s="2" t="s">
        <v>2989</v>
      </c>
      <c r="I230" s="2" t="s">
        <v>2990</v>
      </c>
      <c r="J230" s="2" t="s">
        <v>2991</v>
      </c>
      <c r="K230" s="3">
        <v>62023.74</v>
      </c>
      <c r="L230" s="3">
        <v>66682.2</v>
      </c>
      <c r="M230" s="3">
        <f>L230-K230</f>
      </c>
      <c r="N230" s="4">
        <f>IF(K230=0,0,M230/K230)</f>
      </c>
      <c r="O230" s="2" t="s">
        <v>2992</v>
      </c>
      <c r="P230" s="2" t="s">
        <v>2993</v>
      </c>
      <c r="Q230" s="2" t="s">
        <v>2994</v>
      </c>
      <c r="R230" s="2" t="s">
        <v>2995</v>
      </c>
      <c r="S230" s="2" t="s">
        <v>2996</v>
      </c>
    </row>
    <row customHeight="true" ht="15" r="231">
      <c r="A231" s="2">
        <v>2024</v>
      </c>
      <c r="B231" s="2">
        <v>4</v>
      </c>
      <c r="C231" s="2" t="s">
        <v>2997</v>
      </c>
      <c r="D231" s="2" t="s">
        <v>2998</v>
      </c>
      <c r="E231" s="2" t="s">
        <v>2999</v>
      </c>
      <c r="F231" s="2" t="s">
        <v>3000</v>
      </c>
      <c r="G231" s="2" t="s">
        <v>3001</v>
      </c>
      <c r="H231" s="2" t="s">
        <v>3002</v>
      </c>
      <c r="I231" s="2" t="s">
        <v>3003</v>
      </c>
      <c r="J231" s="2" t="s">
        <v>3004</v>
      </c>
      <c r="K231" s="3">
        <v>477965.76</v>
      </c>
      <c r="L231" s="3">
        <v>445864.68</v>
      </c>
      <c r="M231" s="3">
        <f>L231-K231</f>
      </c>
      <c r="N231" s="4">
        <f>IF(K231=0,0,M231/K231)</f>
      </c>
      <c r="O231" s="2" t="s">
        <v>3005</v>
      </c>
      <c r="P231" s="2" t="s">
        <v>3006</v>
      </c>
      <c r="Q231" s="2" t="s">
        <v>3007</v>
      </c>
      <c r="R231" s="2" t="s">
        <v>3008</v>
      </c>
      <c r="S231" s="2" t="s">
        <v>3009</v>
      </c>
    </row>
    <row customHeight="true" ht="15" r="232">
      <c r="A232" s="2">
        <v>2024</v>
      </c>
      <c r="B232" s="2">
        <v>4</v>
      </c>
      <c r="C232" s="2" t="s">
        <v>3010</v>
      </c>
      <c r="D232" s="2" t="s">
        <v>3011</v>
      </c>
      <c r="E232" s="2" t="s">
        <v>3012</v>
      </c>
      <c r="F232" s="2" t="s">
        <v>3013</v>
      </c>
      <c r="G232" s="2" t="s">
        <v>3014</v>
      </c>
      <c r="H232" s="2" t="s">
        <v>3015</v>
      </c>
      <c r="I232" s="2" t="s">
        <v>3016</v>
      </c>
      <c r="J232" s="2" t="s">
        <v>3017</v>
      </c>
      <c r="K232" s="3">
        <v>123719.04</v>
      </c>
      <c r="L232" s="3">
        <v>130317.21</v>
      </c>
      <c r="M232" s="3">
        <f>L232-K232</f>
      </c>
      <c r="N232" s="4">
        <f>IF(K232=0,0,M232/K232)</f>
      </c>
      <c r="O232" s="2" t="s">
        <v>3018</v>
      </c>
      <c r="P232" s="2" t="s">
        <v>3019</v>
      </c>
      <c r="Q232" s="2" t="s">
        <v>3020</v>
      </c>
      <c r="R232" s="2" t="s">
        <v>3021</v>
      </c>
      <c r="S232" s="2" t="s">
        <v>3022</v>
      </c>
    </row>
    <row customHeight="true" ht="15" r="233">
      <c r="A233" s="2">
        <v>2024</v>
      </c>
      <c r="B233" s="2">
        <v>4</v>
      </c>
      <c r="C233" s="2" t="s">
        <v>3023</v>
      </c>
      <c r="D233" s="2" t="s">
        <v>3024</v>
      </c>
      <c r="E233" s="2" t="s">
        <v>3025</v>
      </c>
      <c r="F233" s="2" t="s">
        <v>3026</v>
      </c>
      <c r="G233" s="2" t="s">
        <v>3027</v>
      </c>
      <c r="H233" s="2" t="s">
        <v>3028</v>
      </c>
      <c r="I233" s="2" t="s">
        <v>3029</v>
      </c>
      <c r="J233" s="2" t="s">
        <v>3030</v>
      </c>
      <c r="K233" s="3">
        <v>69993.36</v>
      </c>
      <c r="L233" s="3">
        <v>76146.33</v>
      </c>
      <c r="M233" s="3">
        <f>L233-K233</f>
      </c>
      <c r="N233" s="4">
        <f>IF(K233=0,0,M233/K233)</f>
      </c>
      <c r="O233" s="2" t="s">
        <v>3031</v>
      </c>
      <c r="P233" s="2" t="s">
        <v>3032</v>
      </c>
      <c r="Q233" s="2" t="s">
        <v>3033</v>
      </c>
      <c r="R233" s="2" t="s">
        <v>3034</v>
      </c>
      <c r="S233" s="2" t="s">
        <v>3035</v>
      </c>
    </row>
    <row customHeight="true" ht="15" r="234">
      <c r="A234" s="2">
        <v>2024</v>
      </c>
      <c r="B234" s="2">
        <v>4</v>
      </c>
      <c r="C234" s="2" t="s">
        <v>3036</v>
      </c>
      <c r="D234" s="2" t="s">
        <v>3037</v>
      </c>
      <c r="E234" s="2" t="s">
        <v>3038</v>
      </c>
      <c r="F234" s="2" t="s">
        <v>3039</v>
      </c>
      <c r="G234" s="2" t="s">
        <v>3040</v>
      </c>
      <c r="H234" s="2" t="s">
        <v>3041</v>
      </c>
      <c r="I234" s="2" t="s">
        <v>3042</v>
      </c>
      <c r="J234" s="2" t="s">
        <v>3043</v>
      </c>
      <c r="K234" s="3">
        <v>182112.35</v>
      </c>
      <c r="L234" s="3">
        <v>174150.4</v>
      </c>
      <c r="M234" s="3">
        <f>L234-K234</f>
      </c>
      <c r="N234" s="4">
        <f>IF(K234=0,0,M234/K234)</f>
      </c>
      <c r="O234" s="2" t="s">
        <v>3044</v>
      </c>
      <c r="P234" s="2" t="s">
        <v>3045</v>
      </c>
      <c r="Q234" s="2" t="s">
        <v>3046</v>
      </c>
      <c r="R234" s="2" t="s">
        <v>3047</v>
      </c>
      <c r="S234" s="2" t="s">
        <v>3048</v>
      </c>
    </row>
    <row customHeight="true" ht="15" r="235">
      <c r="A235" s="2">
        <v>2024</v>
      </c>
      <c r="B235" s="2">
        <v>4</v>
      </c>
      <c r="C235" s="2" t="s">
        <v>3049</v>
      </c>
      <c r="D235" s="2" t="s">
        <v>3050</v>
      </c>
      <c r="E235" s="2" t="s">
        <v>3051</v>
      </c>
      <c r="F235" s="2" t="s">
        <v>3052</v>
      </c>
      <c r="G235" s="2" t="s">
        <v>3053</v>
      </c>
      <c r="H235" s="2" t="s">
        <v>3054</v>
      </c>
      <c r="I235" s="2" t="s">
        <v>3055</v>
      </c>
      <c r="J235" s="2" t="s">
        <v>3056</v>
      </c>
      <c r="K235" s="3">
        <v>27395.41</v>
      </c>
      <c r="L235" s="3">
        <v>32548.77</v>
      </c>
      <c r="M235" s="3">
        <f>L235-K235</f>
      </c>
      <c r="N235" s="4">
        <f>IF(K235=0,0,M235/K235)</f>
      </c>
      <c r="O235" s="2" t="s">
        <v>3057</v>
      </c>
      <c r="P235" s="2" t="s">
        <v>3058</v>
      </c>
      <c r="Q235" s="2" t="s">
        <v>3059</v>
      </c>
      <c r="R235" s="2" t="s">
        <v>3060</v>
      </c>
      <c r="S235" s="2" t="s">
        <v>3061</v>
      </c>
    </row>
    <row customHeight="true" ht="15" r="236">
      <c r="A236" s="2">
        <v>2024</v>
      </c>
      <c r="B236" s="2">
        <v>4</v>
      </c>
      <c r="C236" s="2" t="s">
        <v>3062</v>
      </c>
      <c r="D236" s="2" t="s">
        <v>3063</v>
      </c>
      <c r="E236" s="2" t="s">
        <v>3064</v>
      </c>
      <c r="F236" s="2" t="s">
        <v>3065</v>
      </c>
      <c r="G236" s="2" t="s">
        <v>3066</v>
      </c>
      <c r="H236" s="2" t="s">
        <v>3067</v>
      </c>
      <c r="I236" s="2" t="s">
        <v>3068</v>
      </c>
      <c r="J236" s="2" t="s">
        <v>3069</v>
      </c>
      <c r="K236" s="3">
        <v>350488.17</v>
      </c>
      <c r="L236" s="3">
        <v>376478.75</v>
      </c>
      <c r="M236" s="3">
        <f>L236-K236</f>
      </c>
      <c r="N236" s="4">
        <f>IF(K236=0,0,M236/K236)</f>
      </c>
      <c r="O236" s="2" t="s">
        <v>3070</v>
      </c>
      <c r="P236" s="2" t="s">
        <v>3071</v>
      </c>
      <c r="Q236" s="2" t="s">
        <v>3072</v>
      </c>
      <c r="R236" s="2" t="s">
        <v>3073</v>
      </c>
      <c r="S236" s="2" t="s">
        <v>3074</v>
      </c>
    </row>
    <row customHeight="true" ht="15" r="237">
      <c r="A237" s="2">
        <v>2024</v>
      </c>
      <c r="B237" s="2">
        <v>4</v>
      </c>
      <c r="C237" s="2" t="s">
        <v>3075</v>
      </c>
      <c r="D237" s="2" t="s">
        <v>3076</v>
      </c>
      <c r="E237" s="2" t="s">
        <v>3077</v>
      </c>
      <c r="F237" s="2" t="s">
        <v>3078</v>
      </c>
      <c r="G237" s="2" t="s">
        <v>3079</v>
      </c>
      <c r="H237" s="2" t="s">
        <v>3080</v>
      </c>
      <c r="I237" s="2" t="s">
        <v>3081</v>
      </c>
      <c r="J237" s="2" t="s">
        <v>3082</v>
      </c>
      <c r="K237" s="3">
        <v>94129.19</v>
      </c>
      <c r="L237" s="3">
        <v>108025.72</v>
      </c>
      <c r="M237" s="3">
        <f>L237-K237</f>
      </c>
      <c r="N237" s="4">
        <f>IF(K237=0,0,M237/K237)</f>
      </c>
      <c r="O237" s="2" t="s">
        <v>3083</v>
      </c>
      <c r="P237" s="2" t="s">
        <v>3084</v>
      </c>
      <c r="Q237" s="2" t="s">
        <v>3085</v>
      </c>
      <c r="R237" s="2" t="s">
        <v>3086</v>
      </c>
      <c r="S237" s="2" t="s">
        <v>3087</v>
      </c>
    </row>
    <row customHeight="true" ht="15" r="238">
      <c r="A238" s="2">
        <v>2024</v>
      </c>
      <c r="B238" s="2">
        <v>4</v>
      </c>
      <c r="C238" s="2" t="s">
        <v>3088</v>
      </c>
      <c r="D238" s="2" t="s">
        <v>3089</v>
      </c>
      <c r="E238" s="2" t="s">
        <v>3090</v>
      </c>
      <c r="F238" s="2" t="s">
        <v>3091</v>
      </c>
      <c r="G238" s="2" t="s">
        <v>3092</v>
      </c>
      <c r="H238" s="2" t="s">
        <v>3093</v>
      </c>
      <c r="I238" s="2" t="s">
        <v>3094</v>
      </c>
      <c r="J238" s="2" t="s">
        <v>3095</v>
      </c>
      <c r="K238" s="3">
        <v>149672.07</v>
      </c>
      <c r="L238" s="3">
        <v>157001.86</v>
      </c>
      <c r="M238" s="3">
        <f>L238-K238</f>
      </c>
      <c r="N238" s="4">
        <f>IF(K238=0,0,M238/K238)</f>
      </c>
      <c r="O238" s="2" t="s">
        <v>3096</v>
      </c>
      <c r="P238" s="2" t="s">
        <v>3097</v>
      </c>
      <c r="Q238" s="2" t="s">
        <v>3098</v>
      </c>
      <c r="R238" s="2" t="s">
        <v>3099</v>
      </c>
      <c r="S238" s="2" t="s">
        <v>3100</v>
      </c>
    </row>
    <row customHeight="true" ht="15" r="239">
      <c r="A239" s="2">
        <v>2024</v>
      </c>
      <c r="B239" s="2">
        <v>4</v>
      </c>
      <c r="C239" s="2" t="s">
        <v>3101</v>
      </c>
      <c r="D239" s="2" t="s">
        <v>3102</v>
      </c>
      <c r="E239" s="2" t="s">
        <v>3103</v>
      </c>
      <c r="F239" s="2" t="s">
        <v>3104</v>
      </c>
      <c r="G239" s="2" t="s">
        <v>3105</v>
      </c>
      <c r="H239" s="2" t="s">
        <v>3106</v>
      </c>
      <c r="I239" s="2" t="s">
        <v>3107</v>
      </c>
      <c r="J239" s="2" t="s">
        <v>3108</v>
      </c>
      <c r="K239" s="3">
        <v>174112.62</v>
      </c>
      <c r="L239" s="3">
        <v>193516.32</v>
      </c>
      <c r="M239" s="3">
        <f>L239-K239</f>
      </c>
      <c r="N239" s="4">
        <f>IF(K239=0,0,M239/K239)</f>
      </c>
      <c r="O239" s="2" t="s">
        <v>3109</v>
      </c>
      <c r="P239" s="2" t="s">
        <v>3110</v>
      </c>
      <c r="Q239" s="2" t="s">
        <v>3111</v>
      </c>
      <c r="R239" s="2" t="s">
        <v>3112</v>
      </c>
      <c r="S239" s="2" t="s">
        <v>3113</v>
      </c>
    </row>
    <row customHeight="true" ht="15" r="240">
      <c r="A240" s="2">
        <v>2024</v>
      </c>
      <c r="B240" s="2">
        <v>4</v>
      </c>
      <c r="C240" s="2" t="s">
        <v>3114</v>
      </c>
      <c r="D240" s="2" t="s">
        <v>3115</v>
      </c>
      <c r="E240" s="2" t="s">
        <v>3116</v>
      </c>
      <c r="F240" s="2" t="s">
        <v>3117</v>
      </c>
      <c r="G240" s="2" t="s">
        <v>3118</v>
      </c>
      <c r="H240" s="2" t="s">
        <v>3119</v>
      </c>
      <c r="I240" s="2" t="s">
        <v>3120</v>
      </c>
      <c r="J240" s="2" t="s">
        <v>3121</v>
      </c>
      <c r="K240" s="3">
        <v>16795.13</v>
      </c>
      <c r="L240" s="3">
        <v>15488.66</v>
      </c>
      <c r="M240" s="3">
        <f>L240-K240</f>
      </c>
      <c r="N240" s="4">
        <f>IF(K240=0,0,M240/K240)</f>
      </c>
      <c r="O240" s="2" t="s">
        <v>3122</v>
      </c>
      <c r="P240" s="2" t="s">
        <v>3123</v>
      </c>
      <c r="Q240" s="2" t="s">
        <v>3124</v>
      </c>
      <c r="R240" s="2" t="s">
        <v>3125</v>
      </c>
      <c r="S240" s="2" t="s">
        <v>3126</v>
      </c>
    </row>
    <row customHeight="true" ht="15" r="241">
      <c r="A241" s="2">
        <v>2024</v>
      </c>
      <c r="B241" s="2">
        <v>4</v>
      </c>
      <c r="C241" s="2" t="s">
        <v>3127</v>
      </c>
      <c r="D241" s="2" t="s">
        <v>3128</v>
      </c>
      <c r="E241" s="2" t="s">
        <v>3129</v>
      </c>
      <c r="F241" s="2" t="s">
        <v>3130</v>
      </c>
      <c r="G241" s="2" t="s">
        <v>3131</v>
      </c>
      <c r="H241" s="2" t="s">
        <v>3132</v>
      </c>
      <c r="I241" s="2" t="s">
        <v>3133</v>
      </c>
      <c r="J241" s="2" t="s">
        <v>3134</v>
      </c>
      <c r="K241" s="3">
        <v>76366.82</v>
      </c>
      <c r="L241" s="3">
        <v>86723.15</v>
      </c>
      <c r="M241" s="3">
        <f>L241-K241</f>
      </c>
      <c r="N241" s="4">
        <f>IF(K241=0,0,M241/K241)</f>
      </c>
      <c r="O241" s="2" t="s">
        <v>3135</v>
      </c>
      <c r="P241" s="2" t="s">
        <v>3136</v>
      </c>
      <c r="Q241" s="2" t="s">
        <v>3137</v>
      </c>
      <c r="R241" s="2" t="s">
        <v>3138</v>
      </c>
      <c r="S241" s="2" t="s">
        <v>3139</v>
      </c>
    </row>
    <row customHeight="true" ht="15" r="242">
      <c r="A242" s="2">
        <v>2024</v>
      </c>
      <c r="B242" s="2">
        <v>5</v>
      </c>
      <c r="C242" s="2" t="s">
        <v>3140</v>
      </c>
      <c r="D242" s="2" t="s">
        <v>3141</v>
      </c>
      <c r="E242" s="2" t="s">
        <v>3142</v>
      </c>
      <c r="F242" s="2" t="s">
        <v>3143</v>
      </c>
      <c r="G242" s="2" t="s">
        <v>3144</v>
      </c>
      <c r="H242" s="2" t="s">
        <v>3145</v>
      </c>
      <c r="I242" s="2" t="s">
        <v>3146</v>
      </c>
      <c r="J242" s="2" t="s">
        <v>3147</v>
      </c>
      <c r="K242" s="3">
        <v>182290.21</v>
      </c>
      <c r="L242" s="3">
        <v>210587.89</v>
      </c>
      <c r="M242" s="3">
        <f>L242-K242</f>
      </c>
      <c r="N242" s="4">
        <f>IF(K242=0,0,M242/K242)</f>
      </c>
      <c r="O242" s="2" t="s">
        <v>3148</v>
      </c>
      <c r="P242" s="2" t="s">
        <v>3149</v>
      </c>
      <c r="Q242" s="2" t="s">
        <v>3150</v>
      </c>
      <c r="R242" s="2" t="s">
        <v>3151</v>
      </c>
      <c r="S242" s="2" t="s">
        <v>3152</v>
      </c>
    </row>
    <row customHeight="true" ht="15" r="243">
      <c r="A243" s="2">
        <v>2024</v>
      </c>
      <c r="B243" s="2">
        <v>5</v>
      </c>
      <c r="C243" s="2" t="s">
        <v>3153</v>
      </c>
      <c r="D243" s="2" t="s">
        <v>3154</v>
      </c>
      <c r="E243" s="2" t="s">
        <v>3155</v>
      </c>
      <c r="F243" s="2" t="s">
        <v>3156</v>
      </c>
      <c r="G243" s="2" t="s">
        <v>3157</v>
      </c>
      <c r="H243" s="2" t="s">
        <v>3158</v>
      </c>
      <c r="I243" s="2" t="s">
        <v>3159</v>
      </c>
      <c r="J243" s="2" t="s">
        <v>3160</v>
      </c>
      <c r="K243" s="3">
        <v>188104.24</v>
      </c>
      <c r="L243" s="3">
        <v>195115.07</v>
      </c>
      <c r="M243" s="3">
        <f>L243-K243</f>
      </c>
      <c r="N243" s="4">
        <f>IF(K243=0,0,M243/K243)</f>
      </c>
      <c r="O243" s="2" t="s">
        <v>3161</v>
      </c>
      <c r="P243" s="2" t="s">
        <v>3162</v>
      </c>
      <c r="Q243" s="2" t="s">
        <v>3163</v>
      </c>
      <c r="R243" s="2" t="s">
        <v>3164</v>
      </c>
      <c r="S243" s="2" t="s">
        <v>3165</v>
      </c>
    </row>
    <row customHeight="true" ht="15" r="244">
      <c r="A244" s="2">
        <v>2024</v>
      </c>
      <c r="B244" s="2">
        <v>5</v>
      </c>
      <c r="C244" s="2" t="s">
        <v>3166</v>
      </c>
      <c r="D244" s="2" t="s">
        <v>3167</v>
      </c>
      <c r="E244" s="2" t="s">
        <v>3168</v>
      </c>
      <c r="F244" s="2" t="s">
        <v>3169</v>
      </c>
      <c r="G244" s="2" t="s">
        <v>3170</v>
      </c>
      <c r="H244" s="2" t="s">
        <v>3171</v>
      </c>
      <c r="I244" s="2" t="s">
        <v>3172</v>
      </c>
      <c r="J244" s="2" t="s">
        <v>3173</v>
      </c>
      <c r="K244" s="3">
        <v>359134.32</v>
      </c>
      <c r="L244" s="3">
        <v>349857.4</v>
      </c>
      <c r="M244" s="3">
        <f>L244-K244</f>
      </c>
      <c r="N244" s="4">
        <f>IF(K244=0,0,M244/K244)</f>
      </c>
      <c r="O244" s="2" t="s">
        <v>3174</v>
      </c>
      <c r="P244" s="2" t="s">
        <v>3175</v>
      </c>
      <c r="Q244" s="2" t="s">
        <v>3176</v>
      </c>
      <c r="R244" s="2" t="s">
        <v>3177</v>
      </c>
      <c r="S244" s="2" t="s">
        <v>3178</v>
      </c>
    </row>
    <row customHeight="true" ht="15" r="245">
      <c r="A245" s="2">
        <v>2024</v>
      </c>
      <c r="B245" s="2">
        <v>5</v>
      </c>
      <c r="C245" s="2" t="s">
        <v>3179</v>
      </c>
      <c r="D245" s="2" t="s">
        <v>3180</v>
      </c>
      <c r="E245" s="2" t="s">
        <v>3181</v>
      </c>
      <c r="F245" s="2" t="s">
        <v>3182</v>
      </c>
      <c r="G245" s="2" t="s">
        <v>3183</v>
      </c>
      <c r="H245" s="2" t="s">
        <v>3184</v>
      </c>
      <c r="I245" s="2" t="s">
        <v>3185</v>
      </c>
      <c r="J245" s="2" t="s">
        <v>3186</v>
      </c>
      <c r="K245" s="3">
        <v>180754.58</v>
      </c>
      <c r="L245" s="3">
        <v>171425.28</v>
      </c>
      <c r="M245" s="3">
        <f>L245-K245</f>
      </c>
      <c r="N245" s="4">
        <f>IF(K245=0,0,M245/K245)</f>
      </c>
      <c r="O245" s="2" t="s">
        <v>3187</v>
      </c>
      <c r="P245" s="2" t="s">
        <v>3188</v>
      </c>
      <c r="Q245" s="2" t="s">
        <v>3189</v>
      </c>
      <c r="R245" s="2" t="s">
        <v>3190</v>
      </c>
      <c r="S245" s="2" t="s">
        <v>3191</v>
      </c>
    </row>
    <row customHeight="true" ht="15" r="246">
      <c r="A246" s="2">
        <v>2024</v>
      </c>
      <c r="B246" s="2">
        <v>5</v>
      </c>
      <c r="C246" s="2" t="s">
        <v>3192</v>
      </c>
      <c r="D246" s="2" t="s">
        <v>3193</v>
      </c>
      <c r="E246" s="2" t="s">
        <v>3194</v>
      </c>
      <c r="F246" s="2" t="s">
        <v>3195</v>
      </c>
      <c r="G246" s="2" t="s">
        <v>3196</v>
      </c>
      <c r="H246" s="2" t="s">
        <v>3197</v>
      </c>
      <c r="I246" s="2" t="s">
        <v>3198</v>
      </c>
      <c r="J246" s="2" t="s">
        <v>3199</v>
      </c>
      <c r="K246" s="3">
        <v>75062.85</v>
      </c>
      <c r="L246" s="3">
        <v>84326.94</v>
      </c>
      <c r="M246" s="3">
        <f>L246-K246</f>
      </c>
      <c r="N246" s="4">
        <f>IF(K246=0,0,M246/K246)</f>
      </c>
      <c r="O246" s="2" t="s">
        <v>3200</v>
      </c>
      <c r="P246" s="2" t="s">
        <v>3201</v>
      </c>
      <c r="Q246" s="2" t="s">
        <v>3202</v>
      </c>
      <c r="R246" s="2" t="s">
        <v>3203</v>
      </c>
      <c r="S246" s="2" t="s">
        <v>3204</v>
      </c>
    </row>
    <row customHeight="true" ht="15" r="247">
      <c r="A247" s="2">
        <v>2024</v>
      </c>
      <c r="B247" s="2">
        <v>5</v>
      </c>
      <c r="C247" s="2" t="s">
        <v>3205</v>
      </c>
      <c r="D247" s="2" t="s">
        <v>3206</v>
      </c>
      <c r="E247" s="2" t="s">
        <v>3207</v>
      </c>
      <c r="F247" s="2" t="s">
        <v>3208</v>
      </c>
      <c r="G247" s="2" t="s">
        <v>3209</v>
      </c>
      <c r="H247" s="2" t="s">
        <v>3210</v>
      </c>
      <c r="I247" s="2" t="s">
        <v>3211</v>
      </c>
      <c r="J247" s="2" t="s">
        <v>3212</v>
      </c>
      <c r="K247" s="3">
        <v>220670.06</v>
      </c>
      <c r="L247" s="3">
        <v>201417.43</v>
      </c>
      <c r="M247" s="3">
        <f>L247-K247</f>
      </c>
      <c r="N247" s="4">
        <f>IF(K247=0,0,M247/K247)</f>
      </c>
      <c r="O247" s="2" t="s">
        <v>3213</v>
      </c>
      <c r="P247" s="2" t="s">
        <v>3214</v>
      </c>
      <c r="Q247" s="2" t="s">
        <v>3215</v>
      </c>
      <c r="R247" s="2" t="s">
        <v>3216</v>
      </c>
      <c r="S247" s="2" t="s">
        <v>3217</v>
      </c>
    </row>
    <row customHeight="true" ht="15" r="248">
      <c r="A248" s="2">
        <v>2024</v>
      </c>
      <c r="B248" s="2">
        <v>5</v>
      </c>
      <c r="C248" s="2" t="s">
        <v>3218</v>
      </c>
      <c r="D248" s="2" t="s">
        <v>3219</v>
      </c>
      <c r="E248" s="2" t="s">
        <v>3220</v>
      </c>
      <c r="F248" s="2" t="s">
        <v>3221</v>
      </c>
      <c r="G248" s="2" t="s">
        <v>3222</v>
      </c>
      <c r="H248" s="2" t="s">
        <v>3223</v>
      </c>
      <c r="I248" s="2" t="s">
        <v>3224</v>
      </c>
      <c r="J248" s="2" t="s">
        <v>3225</v>
      </c>
      <c r="K248" s="3">
        <v>30207.23</v>
      </c>
      <c r="L248" s="3">
        <v>36636.59</v>
      </c>
      <c r="M248" s="3">
        <f>L248-K248</f>
      </c>
      <c r="N248" s="4">
        <f>IF(K248=0,0,M248/K248)</f>
      </c>
      <c r="O248" s="2" t="s">
        <v>3226</v>
      </c>
      <c r="P248" s="2" t="s">
        <v>3227</v>
      </c>
      <c r="Q248" s="2" t="s">
        <v>3228</v>
      </c>
      <c r="R248" s="2" t="s">
        <v>3229</v>
      </c>
      <c r="S248" s="2" t="s">
        <v>3230</v>
      </c>
    </row>
    <row customHeight="true" ht="15" r="249">
      <c r="A249" s="2">
        <v>2024</v>
      </c>
      <c r="B249" s="2">
        <v>5</v>
      </c>
      <c r="C249" s="2" t="s">
        <v>3231</v>
      </c>
      <c r="D249" s="2" t="s">
        <v>3232</v>
      </c>
      <c r="E249" s="2" t="s">
        <v>3233</v>
      </c>
      <c r="F249" s="2" t="s">
        <v>3234</v>
      </c>
      <c r="G249" s="2" t="s">
        <v>3235</v>
      </c>
      <c r="H249" s="2" t="s">
        <v>3236</v>
      </c>
      <c r="I249" s="2" t="s">
        <v>3237</v>
      </c>
      <c r="J249" s="2" t="s">
        <v>3238</v>
      </c>
      <c r="K249" s="3">
        <v>470458.96</v>
      </c>
      <c r="L249" s="3">
        <v>410039.94</v>
      </c>
      <c r="M249" s="3">
        <f>L249-K249</f>
      </c>
      <c r="N249" s="4">
        <f>IF(K249=0,0,M249/K249)</f>
      </c>
      <c r="O249" s="2" t="s">
        <v>3239</v>
      </c>
      <c r="P249" s="2" t="s">
        <v>3240</v>
      </c>
      <c r="Q249" s="2" t="s">
        <v>3241</v>
      </c>
      <c r="R249" s="2" t="s">
        <v>3242</v>
      </c>
      <c r="S249" s="2" t="s">
        <v>3243</v>
      </c>
    </row>
    <row customHeight="true" ht="15" r="250">
      <c r="A250" s="2">
        <v>2024</v>
      </c>
      <c r="B250" s="2">
        <v>5</v>
      </c>
      <c r="C250" s="2" t="s">
        <v>3244</v>
      </c>
      <c r="D250" s="2" t="s">
        <v>3245</v>
      </c>
      <c r="E250" s="2" t="s">
        <v>3246</v>
      </c>
      <c r="F250" s="2" t="s">
        <v>3247</v>
      </c>
      <c r="G250" s="2" t="s">
        <v>3248</v>
      </c>
      <c r="H250" s="2" t="s">
        <v>3249</v>
      </c>
      <c r="I250" s="2" t="s">
        <v>3250</v>
      </c>
      <c r="J250" s="2" t="s">
        <v>3251</v>
      </c>
      <c r="K250" s="3">
        <v>8141.92</v>
      </c>
      <c r="L250" s="3">
        <v>7842.57</v>
      </c>
      <c r="M250" s="3">
        <f>L250-K250</f>
      </c>
      <c r="N250" s="4">
        <f>IF(K250=0,0,M250/K250)</f>
      </c>
      <c r="O250" s="2" t="s">
        <v>3252</v>
      </c>
      <c r="P250" s="2" t="s">
        <v>3253</v>
      </c>
      <c r="Q250" s="2" t="s">
        <v>3254</v>
      </c>
      <c r="R250" s="2" t="s">
        <v>3255</v>
      </c>
      <c r="S250" s="2" t="s">
        <v>3256</v>
      </c>
    </row>
    <row customHeight="true" ht="15" r="251">
      <c r="A251" s="2">
        <v>2024</v>
      </c>
      <c r="B251" s="2">
        <v>5</v>
      </c>
      <c r="C251" s="2" t="s">
        <v>3257</v>
      </c>
      <c r="D251" s="2" t="s">
        <v>3258</v>
      </c>
      <c r="E251" s="2" t="s">
        <v>3259</v>
      </c>
      <c r="F251" s="2" t="s">
        <v>3260</v>
      </c>
      <c r="G251" s="2" t="s">
        <v>3261</v>
      </c>
      <c r="H251" s="2" t="s">
        <v>3262</v>
      </c>
      <c r="I251" s="2" t="s">
        <v>3263</v>
      </c>
      <c r="J251" s="2" t="s">
        <v>3264</v>
      </c>
      <c r="K251" s="3">
        <v>400984.14</v>
      </c>
      <c r="L251" s="3">
        <v>458414.03</v>
      </c>
      <c r="M251" s="3">
        <f>L251-K251</f>
      </c>
      <c r="N251" s="4">
        <f>IF(K251=0,0,M251/K251)</f>
      </c>
      <c r="O251" s="2" t="s">
        <v>3265</v>
      </c>
      <c r="P251" s="2" t="s">
        <v>3266</v>
      </c>
      <c r="Q251" s="2" t="s">
        <v>3267</v>
      </c>
      <c r="R251" s="2" t="s">
        <v>3268</v>
      </c>
      <c r="S251" s="2" t="s">
        <v>3269</v>
      </c>
    </row>
    <row customHeight="true" ht="15" r="252">
      <c r="A252" s="2">
        <v>2024</v>
      </c>
      <c r="B252" s="2">
        <v>5</v>
      </c>
      <c r="C252" s="2" t="s">
        <v>3270</v>
      </c>
      <c r="D252" s="2" t="s">
        <v>3271</v>
      </c>
      <c r="E252" s="2" t="s">
        <v>3272</v>
      </c>
      <c r="F252" s="2" t="s">
        <v>3273</v>
      </c>
      <c r="G252" s="2" t="s">
        <v>3274</v>
      </c>
      <c r="H252" s="2" t="s">
        <v>3275</v>
      </c>
      <c r="I252" s="2" t="s">
        <v>3276</v>
      </c>
      <c r="J252" s="2" t="s">
        <v>3277</v>
      </c>
      <c r="K252" s="3">
        <v>130834.2</v>
      </c>
      <c r="L252" s="3">
        <v>157749.36</v>
      </c>
      <c r="M252" s="3">
        <f>L252-K252</f>
      </c>
      <c r="N252" s="4">
        <f>IF(K252=0,0,M252/K252)</f>
      </c>
      <c r="O252" s="2" t="s">
        <v>3278</v>
      </c>
      <c r="P252" s="2" t="s">
        <v>3279</v>
      </c>
      <c r="Q252" s="2" t="s">
        <v>3280</v>
      </c>
      <c r="R252" s="2" t="s">
        <v>3281</v>
      </c>
      <c r="S252" s="2" t="s">
        <v>3282</v>
      </c>
    </row>
    <row customHeight="true" ht="15" r="253">
      <c r="A253" s="2">
        <v>2024</v>
      </c>
      <c r="B253" s="2">
        <v>5</v>
      </c>
      <c r="C253" s="2" t="s">
        <v>3283</v>
      </c>
      <c r="D253" s="2" t="s">
        <v>3284</v>
      </c>
      <c r="E253" s="2" t="s">
        <v>3285</v>
      </c>
      <c r="F253" s="2" t="s">
        <v>3286</v>
      </c>
      <c r="G253" s="2" t="s">
        <v>3287</v>
      </c>
      <c r="H253" s="2" t="s">
        <v>3288</v>
      </c>
      <c r="I253" s="2" t="s">
        <v>3289</v>
      </c>
      <c r="J253" s="2" t="s">
        <v>3290</v>
      </c>
      <c r="K253" s="3">
        <v>291288.12</v>
      </c>
      <c r="L253" s="3">
        <v>273304.01</v>
      </c>
      <c r="M253" s="3">
        <f>L253-K253</f>
      </c>
      <c r="N253" s="4">
        <f>IF(K253=0,0,M253/K253)</f>
      </c>
      <c r="O253" s="2" t="s">
        <v>3291</v>
      </c>
      <c r="P253" s="2" t="s">
        <v>3292</v>
      </c>
      <c r="Q253" s="2" t="s">
        <v>3293</v>
      </c>
      <c r="R253" s="2" t="s">
        <v>3294</v>
      </c>
      <c r="S253" s="2" t="s">
        <v>3295</v>
      </c>
    </row>
    <row customHeight="true" ht="15" r="254">
      <c r="A254" s="2">
        <v>2024</v>
      </c>
      <c r="B254" s="2">
        <v>5</v>
      </c>
      <c r="C254" s="2" t="s">
        <v>3296</v>
      </c>
      <c r="D254" s="2" t="s">
        <v>3297</v>
      </c>
      <c r="E254" s="2" t="s">
        <v>3298</v>
      </c>
      <c r="F254" s="2" t="s">
        <v>3299</v>
      </c>
      <c r="G254" s="2" t="s">
        <v>3300</v>
      </c>
      <c r="H254" s="2" t="s">
        <v>3301</v>
      </c>
      <c r="I254" s="2" t="s">
        <v>3302</v>
      </c>
      <c r="J254" s="2" t="s">
        <v>3303</v>
      </c>
      <c r="K254" s="3">
        <v>186027.51</v>
      </c>
      <c r="L254" s="3">
        <v>236642.75</v>
      </c>
      <c r="M254" s="3">
        <f>L254-K254</f>
      </c>
      <c r="N254" s="4">
        <f>IF(K254=0,0,M254/K254)</f>
      </c>
      <c r="O254" s="2" t="s">
        <v>3304</v>
      </c>
      <c r="P254" s="2" t="s">
        <v>3305</v>
      </c>
      <c r="Q254" s="2" t="s">
        <v>3306</v>
      </c>
      <c r="R254" s="2" t="s">
        <v>3307</v>
      </c>
      <c r="S254" s="2" t="s">
        <v>3308</v>
      </c>
    </row>
    <row customHeight="true" ht="15" r="255">
      <c r="A255" s="2">
        <v>2024</v>
      </c>
      <c r="B255" s="2">
        <v>5</v>
      </c>
      <c r="C255" s="2" t="s">
        <v>3309</v>
      </c>
      <c r="D255" s="2" t="s">
        <v>3310</v>
      </c>
      <c r="E255" s="2" t="s">
        <v>3311</v>
      </c>
      <c r="F255" s="2" t="s">
        <v>3312</v>
      </c>
      <c r="G255" s="2" t="s">
        <v>3313</v>
      </c>
      <c r="H255" s="2" t="s">
        <v>3314</v>
      </c>
      <c r="I255" s="2" t="s">
        <v>3315</v>
      </c>
      <c r="J255" s="2" t="s">
        <v>3316</v>
      </c>
      <c r="K255" s="3">
        <v>429055.14</v>
      </c>
      <c r="L255" s="3">
        <v>501809.51</v>
      </c>
      <c r="M255" s="3">
        <f>L255-K255</f>
      </c>
      <c r="N255" s="4">
        <f>IF(K255=0,0,M255/K255)</f>
      </c>
      <c r="O255" s="2" t="s">
        <v>3317</v>
      </c>
      <c r="P255" s="2" t="s">
        <v>3318</v>
      </c>
      <c r="Q255" s="2" t="s">
        <v>3319</v>
      </c>
      <c r="R255" s="2" t="s">
        <v>3320</v>
      </c>
      <c r="S255" s="2" t="s">
        <v>3321</v>
      </c>
    </row>
    <row customHeight="true" ht="15" r="256">
      <c r="A256" s="2">
        <v>2024</v>
      </c>
      <c r="B256" s="2">
        <v>5</v>
      </c>
      <c r="C256" s="2" t="s">
        <v>3322</v>
      </c>
      <c r="D256" s="2" t="s">
        <v>3323</v>
      </c>
      <c r="E256" s="2" t="s">
        <v>3324</v>
      </c>
      <c r="F256" s="2" t="s">
        <v>3325</v>
      </c>
      <c r="G256" s="2" t="s">
        <v>3326</v>
      </c>
      <c r="H256" s="2" t="s">
        <v>3327</v>
      </c>
      <c r="I256" s="2" t="s">
        <v>3328</v>
      </c>
      <c r="J256" s="2" t="s">
        <v>3329</v>
      </c>
      <c r="K256" s="3">
        <v>396758.28</v>
      </c>
      <c r="L256" s="3">
        <v>475660.13</v>
      </c>
      <c r="M256" s="3">
        <f>L256-K256</f>
      </c>
      <c r="N256" s="4">
        <f>IF(K256=0,0,M256/K256)</f>
      </c>
      <c r="O256" s="2" t="s">
        <v>3330</v>
      </c>
      <c r="P256" s="2" t="s">
        <v>3331</v>
      </c>
      <c r="Q256" s="2" t="s">
        <v>3332</v>
      </c>
      <c r="R256" s="2" t="s">
        <v>3333</v>
      </c>
      <c r="S256" s="2" t="s">
        <v>3334</v>
      </c>
    </row>
    <row customHeight="true" ht="15" r="257">
      <c r="A257" s="2">
        <v>2024</v>
      </c>
      <c r="B257" s="2">
        <v>6</v>
      </c>
      <c r="C257" s="2" t="s">
        <v>3335</v>
      </c>
      <c r="D257" s="2" t="s">
        <v>3336</v>
      </c>
      <c r="E257" s="2" t="s">
        <v>3337</v>
      </c>
      <c r="F257" s="2" t="s">
        <v>3338</v>
      </c>
      <c r="G257" s="2" t="s">
        <v>3339</v>
      </c>
      <c r="H257" s="2" t="s">
        <v>3340</v>
      </c>
      <c r="I257" s="2" t="s">
        <v>3341</v>
      </c>
      <c r="J257" s="2" t="s">
        <v>3342</v>
      </c>
      <c r="K257" s="3">
        <v>431907.37</v>
      </c>
      <c r="L257" s="3">
        <v>460666.57</v>
      </c>
      <c r="M257" s="3">
        <f>L257-K257</f>
      </c>
      <c r="N257" s="4">
        <f>IF(K257=0,0,M257/K257)</f>
      </c>
      <c r="O257" s="2" t="s">
        <v>3343</v>
      </c>
      <c r="P257" s="2" t="s">
        <v>3344</v>
      </c>
      <c r="Q257" s="2" t="s">
        <v>3345</v>
      </c>
      <c r="R257" s="2" t="s">
        <v>3346</v>
      </c>
      <c r="S257" s="2" t="s">
        <v>3347</v>
      </c>
    </row>
    <row customHeight="true" ht="15" r="258">
      <c r="A258" s="2">
        <v>2024</v>
      </c>
      <c r="B258" s="2">
        <v>6</v>
      </c>
      <c r="C258" s="2" t="s">
        <v>3348</v>
      </c>
      <c r="D258" s="2" t="s">
        <v>3349</v>
      </c>
      <c r="E258" s="2" t="s">
        <v>3350</v>
      </c>
      <c r="F258" s="2" t="s">
        <v>3351</v>
      </c>
      <c r="G258" s="2" t="s">
        <v>3352</v>
      </c>
      <c r="H258" s="2" t="s">
        <v>3353</v>
      </c>
      <c r="I258" s="2" t="s">
        <v>3354</v>
      </c>
      <c r="J258" s="2" t="s">
        <v>3355</v>
      </c>
      <c r="K258" s="3">
        <v>151349.32</v>
      </c>
      <c r="L258" s="3">
        <v>186663.2</v>
      </c>
      <c r="M258" s="3">
        <f>L258-K258</f>
      </c>
      <c r="N258" s="4">
        <f>IF(K258=0,0,M258/K258)</f>
      </c>
      <c r="O258" s="2" t="s">
        <v>3356</v>
      </c>
      <c r="P258" s="2" t="s">
        <v>3357</v>
      </c>
      <c r="Q258" s="2" t="s">
        <v>3358</v>
      </c>
      <c r="R258" s="2" t="s">
        <v>3359</v>
      </c>
      <c r="S258" s="2" t="s">
        <v>3360</v>
      </c>
    </row>
    <row customHeight="true" ht="15" r="259">
      <c r="A259" s="2">
        <v>2024</v>
      </c>
      <c r="B259" s="2">
        <v>6</v>
      </c>
      <c r="C259" s="2" t="s">
        <v>3361</v>
      </c>
      <c r="D259" s="2" t="s">
        <v>3362</v>
      </c>
      <c r="E259" s="2" t="s">
        <v>3363</v>
      </c>
      <c r="F259" s="2" t="s">
        <v>3364</v>
      </c>
      <c r="G259" s="2" t="s">
        <v>3365</v>
      </c>
      <c r="H259" s="2" t="s">
        <v>3366</v>
      </c>
      <c r="I259" s="2" t="s">
        <v>3367</v>
      </c>
      <c r="J259" s="2" t="s">
        <v>3368</v>
      </c>
      <c r="K259" s="3">
        <v>247301.88</v>
      </c>
      <c r="L259" s="3">
        <v>247099.89</v>
      </c>
      <c r="M259" s="3">
        <f>L259-K259</f>
      </c>
      <c r="N259" s="4">
        <f>IF(K259=0,0,M259/K259)</f>
      </c>
      <c r="O259" s="2" t="s">
        <v>3369</v>
      </c>
      <c r="P259" s="2" t="s">
        <v>3370</v>
      </c>
      <c r="Q259" s="2" t="s">
        <v>3371</v>
      </c>
      <c r="R259" s="2" t="s">
        <v>3372</v>
      </c>
      <c r="S259" s="2" t="s">
        <v>3373</v>
      </c>
    </row>
    <row customHeight="true" ht="15" r="260">
      <c r="A260" s="2">
        <v>2024</v>
      </c>
      <c r="B260" s="2">
        <v>6</v>
      </c>
      <c r="C260" s="2" t="s">
        <v>3374</v>
      </c>
      <c r="D260" s="2" t="s">
        <v>3375</v>
      </c>
      <c r="E260" s="2" t="s">
        <v>3376</v>
      </c>
      <c r="F260" s="2" t="s">
        <v>3377</v>
      </c>
      <c r="G260" s="2" t="s">
        <v>3378</v>
      </c>
      <c r="H260" s="2" t="s">
        <v>3379</v>
      </c>
      <c r="I260" s="2" t="s">
        <v>3380</v>
      </c>
      <c r="J260" s="2" t="s">
        <v>3381</v>
      </c>
      <c r="K260" s="3">
        <v>330212.26</v>
      </c>
      <c r="L260" s="3">
        <v>356637.8</v>
      </c>
      <c r="M260" s="3">
        <f>L260-K260</f>
      </c>
      <c r="N260" s="4">
        <f>IF(K260=0,0,M260/K260)</f>
      </c>
      <c r="O260" s="2" t="s">
        <v>3382</v>
      </c>
      <c r="P260" s="2" t="s">
        <v>3383</v>
      </c>
      <c r="Q260" s="2" t="s">
        <v>3384</v>
      </c>
      <c r="R260" s="2" t="s">
        <v>3385</v>
      </c>
      <c r="S260" s="2" t="s">
        <v>3386</v>
      </c>
    </row>
    <row customHeight="true" ht="15" r="261">
      <c r="A261" s="2">
        <v>2024</v>
      </c>
      <c r="B261" s="2">
        <v>6</v>
      </c>
      <c r="C261" s="2" t="s">
        <v>3387</v>
      </c>
      <c r="D261" s="2" t="s">
        <v>3388</v>
      </c>
      <c r="E261" s="2" t="s">
        <v>3389</v>
      </c>
      <c r="F261" s="2" t="s">
        <v>3390</v>
      </c>
      <c r="G261" s="2" t="s">
        <v>3391</v>
      </c>
      <c r="H261" s="2" t="s">
        <v>3392</v>
      </c>
      <c r="I261" s="2" t="s">
        <v>3393</v>
      </c>
      <c r="J261" s="2" t="s">
        <v>3394</v>
      </c>
      <c r="K261" s="3">
        <v>85174.12</v>
      </c>
      <c r="L261" s="3">
        <v>98594.61</v>
      </c>
      <c r="M261" s="3">
        <f>L261-K261</f>
      </c>
      <c r="N261" s="4">
        <f>IF(K261=0,0,M261/K261)</f>
      </c>
      <c r="O261" s="2" t="s">
        <v>3395</v>
      </c>
      <c r="P261" s="2" t="s">
        <v>3396</v>
      </c>
      <c r="Q261" s="2" t="s">
        <v>3397</v>
      </c>
      <c r="R261" s="2" t="s">
        <v>3398</v>
      </c>
      <c r="S261" s="2" t="s">
        <v>3399</v>
      </c>
    </row>
    <row customHeight="true" ht="15" r="262">
      <c r="A262" s="2">
        <v>2024</v>
      </c>
      <c r="B262" s="2">
        <v>6</v>
      </c>
      <c r="C262" s="2" t="s">
        <v>3400</v>
      </c>
      <c r="D262" s="2" t="s">
        <v>3401</v>
      </c>
      <c r="E262" s="2" t="s">
        <v>3402</v>
      </c>
      <c r="F262" s="2" t="s">
        <v>3403</v>
      </c>
      <c r="G262" s="2" t="s">
        <v>3404</v>
      </c>
      <c r="H262" s="2" t="s">
        <v>3405</v>
      </c>
      <c r="I262" s="2" t="s">
        <v>3406</v>
      </c>
      <c r="J262" s="2" t="s">
        <v>3407</v>
      </c>
      <c r="K262" s="3">
        <v>489490.42</v>
      </c>
      <c r="L262" s="3">
        <v>497239</v>
      </c>
      <c r="M262" s="3">
        <f>L262-K262</f>
      </c>
      <c r="N262" s="4">
        <f>IF(K262=0,0,M262/K262)</f>
      </c>
      <c r="O262" s="2" t="s">
        <v>3408</v>
      </c>
      <c r="P262" s="2" t="s">
        <v>3409</v>
      </c>
      <c r="Q262" s="2" t="s">
        <v>3410</v>
      </c>
      <c r="R262" s="2" t="s">
        <v>3411</v>
      </c>
      <c r="S262" s="2" t="s">
        <v>3412</v>
      </c>
    </row>
    <row customHeight="true" ht="15" r="263">
      <c r="A263" s="2">
        <v>2024</v>
      </c>
      <c r="B263" s="2">
        <v>6</v>
      </c>
      <c r="C263" s="2" t="s">
        <v>3413</v>
      </c>
      <c r="D263" s="2" t="s">
        <v>3414</v>
      </c>
      <c r="E263" s="2" t="s">
        <v>3415</v>
      </c>
      <c r="F263" s="2" t="s">
        <v>3416</v>
      </c>
      <c r="G263" s="2" t="s">
        <v>3417</v>
      </c>
      <c r="H263" s="2" t="s">
        <v>3418</v>
      </c>
      <c r="I263" s="2" t="s">
        <v>3419</v>
      </c>
      <c r="J263" s="2" t="s">
        <v>3420</v>
      </c>
      <c r="K263" s="3">
        <v>60681.88</v>
      </c>
      <c r="L263" s="3">
        <v>62941.35</v>
      </c>
      <c r="M263" s="3">
        <f>L263-K263</f>
      </c>
      <c r="N263" s="4">
        <f>IF(K263=0,0,M263/K263)</f>
      </c>
      <c r="O263" s="2" t="s">
        <v>3421</v>
      </c>
      <c r="P263" s="2" t="s">
        <v>3422</v>
      </c>
      <c r="Q263" s="2" t="s">
        <v>3423</v>
      </c>
      <c r="R263" s="2" t="s">
        <v>3424</v>
      </c>
      <c r="S263" s="2" t="s">
        <v>3425</v>
      </c>
    </row>
    <row customHeight="true" ht="15" r="264">
      <c r="A264" s="2">
        <v>2024</v>
      </c>
      <c r="B264" s="2">
        <v>6</v>
      </c>
      <c r="C264" s="2" t="s">
        <v>3426</v>
      </c>
      <c r="D264" s="2" t="s">
        <v>3427</v>
      </c>
      <c r="E264" s="2" t="s">
        <v>3428</v>
      </c>
      <c r="F264" s="2" t="s">
        <v>3429</v>
      </c>
      <c r="G264" s="2" t="s">
        <v>3430</v>
      </c>
      <c r="H264" s="2" t="s">
        <v>3431</v>
      </c>
      <c r="I264" s="2" t="s">
        <v>3432</v>
      </c>
      <c r="J264" s="2" t="s">
        <v>3433</v>
      </c>
      <c r="K264" s="3">
        <v>203098.62</v>
      </c>
      <c r="L264" s="3">
        <v>183823.07</v>
      </c>
      <c r="M264" s="3">
        <f>L264-K264</f>
      </c>
      <c r="N264" s="4">
        <f>IF(K264=0,0,M264/K264)</f>
      </c>
      <c r="O264" s="2" t="s">
        <v>3434</v>
      </c>
      <c r="P264" s="2" t="s">
        <v>3435</v>
      </c>
      <c r="Q264" s="2" t="s">
        <v>3436</v>
      </c>
      <c r="R264" s="2" t="s">
        <v>3437</v>
      </c>
      <c r="S264" s="2" t="s">
        <v>3438</v>
      </c>
    </row>
    <row customHeight="true" ht="15" r="265">
      <c r="A265" s="2">
        <v>2024</v>
      </c>
      <c r="B265" s="2">
        <v>6</v>
      </c>
      <c r="C265" s="2" t="s">
        <v>3439</v>
      </c>
      <c r="D265" s="2" t="s">
        <v>3440</v>
      </c>
      <c r="E265" s="2" t="s">
        <v>3441</v>
      </c>
      <c r="F265" s="2" t="s">
        <v>3442</v>
      </c>
      <c r="G265" s="2" t="s">
        <v>3443</v>
      </c>
      <c r="H265" s="2" t="s">
        <v>3444</v>
      </c>
      <c r="I265" s="2" t="s">
        <v>3445</v>
      </c>
      <c r="J265" s="2" t="s">
        <v>3446</v>
      </c>
      <c r="K265" s="3">
        <v>52595.98</v>
      </c>
      <c r="L265" s="3">
        <v>60639.31</v>
      </c>
      <c r="M265" s="3">
        <f>L265-K265</f>
      </c>
      <c r="N265" s="4">
        <f>IF(K265=0,0,M265/K265)</f>
      </c>
      <c r="O265" s="2" t="s">
        <v>3447</v>
      </c>
      <c r="P265" s="2" t="s">
        <v>3448</v>
      </c>
      <c r="Q265" s="2" t="s">
        <v>3449</v>
      </c>
      <c r="R265" s="2" t="s">
        <v>3450</v>
      </c>
      <c r="S265" s="2" t="s">
        <v>3451</v>
      </c>
    </row>
    <row customHeight="true" ht="15" r="266">
      <c r="A266" s="2">
        <v>2024</v>
      </c>
      <c r="B266" s="2">
        <v>6</v>
      </c>
      <c r="C266" s="2" t="s">
        <v>3452</v>
      </c>
      <c r="D266" s="2" t="s">
        <v>3453</v>
      </c>
      <c r="E266" s="2" t="s">
        <v>3454</v>
      </c>
      <c r="F266" s="2" t="s">
        <v>3455</v>
      </c>
      <c r="G266" s="2" t="s">
        <v>3456</v>
      </c>
      <c r="H266" s="2" t="s">
        <v>3457</v>
      </c>
      <c r="I266" s="2" t="s">
        <v>3458</v>
      </c>
      <c r="J266" s="2" t="s">
        <v>3459</v>
      </c>
      <c r="K266" s="3">
        <v>76697.25</v>
      </c>
      <c r="L266" s="3">
        <v>88184.31</v>
      </c>
      <c r="M266" s="3">
        <f>L266-K266</f>
      </c>
      <c r="N266" s="4">
        <f>IF(K266=0,0,M266/K266)</f>
      </c>
      <c r="O266" s="2" t="s">
        <v>3460</v>
      </c>
      <c r="P266" s="2" t="s">
        <v>3461</v>
      </c>
      <c r="Q266" s="2" t="s">
        <v>3462</v>
      </c>
      <c r="R266" s="2" t="s">
        <v>3463</v>
      </c>
      <c r="S266" s="2" t="s">
        <v>3464</v>
      </c>
    </row>
    <row customHeight="true" ht="15" r="267">
      <c r="A267" s="2">
        <v>2024</v>
      </c>
      <c r="B267" s="2">
        <v>6</v>
      </c>
      <c r="C267" s="2" t="s">
        <v>3465</v>
      </c>
      <c r="D267" s="2" t="s">
        <v>3466</v>
      </c>
      <c r="E267" s="2" t="s">
        <v>3467</v>
      </c>
      <c r="F267" s="2" t="s">
        <v>3468</v>
      </c>
      <c r="G267" s="2" t="s">
        <v>3469</v>
      </c>
      <c r="H267" s="2" t="s">
        <v>3470</v>
      </c>
      <c r="I267" s="2" t="s">
        <v>3471</v>
      </c>
      <c r="J267" s="2" t="s">
        <v>3472</v>
      </c>
      <c r="K267" s="3">
        <v>181304.71</v>
      </c>
      <c r="L267" s="3">
        <v>224022.09</v>
      </c>
      <c r="M267" s="3">
        <f>L267-K267</f>
      </c>
      <c r="N267" s="4">
        <f>IF(K267=0,0,M267/K267)</f>
      </c>
      <c r="O267" s="2" t="s">
        <v>3473</v>
      </c>
      <c r="P267" s="2" t="s">
        <v>3474</v>
      </c>
      <c r="Q267" s="2" t="s">
        <v>3475</v>
      </c>
      <c r="R267" s="2" t="s">
        <v>3476</v>
      </c>
      <c r="S267" s="2" t="s">
        <v>3477</v>
      </c>
    </row>
    <row customHeight="true" ht="15" r="268">
      <c r="A268" s="2">
        <v>2024</v>
      </c>
      <c r="B268" s="2">
        <v>6</v>
      </c>
      <c r="C268" s="2" t="s">
        <v>3478</v>
      </c>
      <c r="D268" s="2" t="s">
        <v>3479</v>
      </c>
      <c r="E268" s="2" t="s">
        <v>3480</v>
      </c>
      <c r="F268" s="2" t="s">
        <v>3481</v>
      </c>
      <c r="G268" s="2" t="s">
        <v>3482</v>
      </c>
      <c r="H268" s="2" t="s">
        <v>3483</v>
      </c>
      <c r="I268" s="2" t="s">
        <v>3484</v>
      </c>
      <c r="J268" s="2" t="s">
        <v>3485</v>
      </c>
      <c r="K268" s="3">
        <v>322246.29</v>
      </c>
      <c r="L268" s="3">
        <v>357458.96</v>
      </c>
      <c r="M268" s="3">
        <f>L268-K268</f>
      </c>
      <c r="N268" s="4">
        <f>IF(K268=0,0,M268/K268)</f>
      </c>
      <c r="O268" s="2" t="s">
        <v>3486</v>
      </c>
      <c r="P268" s="2" t="s">
        <v>3487</v>
      </c>
      <c r="Q268" s="2" t="s">
        <v>3488</v>
      </c>
      <c r="R268" s="2" t="s">
        <v>3489</v>
      </c>
      <c r="S268" s="2" t="s">
        <v>3490</v>
      </c>
    </row>
    <row customHeight="true" ht="15" r="269">
      <c r="A269" s="2">
        <v>2024</v>
      </c>
      <c r="B269" s="2">
        <v>6</v>
      </c>
      <c r="C269" s="2" t="s">
        <v>3491</v>
      </c>
      <c r="D269" s="2" t="s">
        <v>3492</v>
      </c>
      <c r="E269" s="2" t="s">
        <v>3493</v>
      </c>
      <c r="F269" s="2" t="s">
        <v>3494</v>
      </c>
      <c r="G269" s="2" t="s">
        <v>3495</v>
      </c>
      <c r="H269" s="2" t="s">
        <v>3496</v>
      </c>
      <c r="I269" s="2" t="s">
        <v>3497</v>
      </c>
      <c r="J269" s="2" t="s">
        <v>3498</v>
      </c>
      <c r="K269" s="3">
        <v>116789.51</v>
      </c>
      <c r="L269" s="3">
        <v>127154.06</v>
      </c>
      <c r="M269" s="3">
        <f>L269-K269</f>
      </c>
      <c r="N269" s="4">
        <f>IF(K269=0,0,M269/K269)</f>
      </c>
      <c r="O269" s="2" t="s">
        <v>3499</v>
      </c>
      <c r="P269" s="2" t="s">
        <v>3500</v>
      </c>
      <c r="Q269" s="2" t="s">
        <v>3501</v>
      </c>
      <c r="R269" s="2" t="s">
        <v>3502</v>
      </c>
      <c r="S269" s="2" t="s">
        <v>3503</v>
      </c>
    </row>
    <row customHeight="true" ht="15" r="270">
      <c r="A270" s="2">
        <v>2024</v>
      </c>
      <c r="B270" s="2">
        <v>6</v>
      </c>
      <c r="C270" s="2" t="s">
        <v>3504</v>
      </c>
      <c r="D270" s="2" t="s">
        <v>3505</v>
      </c>
      <c r="E270" s="2" t="s">
        <v>3506</v>
      </c>
      <c r="F270" s="2" t="s">
        <v>3507</v>
      </c>
      <c r="G270" s="2" t="s">
        <v>3508</v>
      </c>
      <c r="H270" s="2" t="s">
        <v>3509</v>
      </c>
      <c r="I270" s="2" t="s">
        <v>3510</v>
      </c>
      <c r="J270" s="2" t="s">
        <v>3511</v>
      </c>
      <c r="K270" s="3">
        <v>27202.64</v>
      </c>
      <c r="L270" s="3">
        <v>22132.63</v>
      </c>
      <c r="M270" s="3">
        <f>L270-K270</f>
      </c>
      <c r="N270" s="4">
        <f>IF(K270=0,0,M270/K270)</f>
      </c>
      <c r="O270" s="2" t="s">
        <v>3512</v>
      </c>
      <c r="P270" s="2" t="s">
        <v>3513</v>
      </c>
      <c r="Q270" s="2" t="s">
        <v>3514</v>
      </c>
      <c r="R270" s="2" t="s">
        <v>3515</v>
      </c>
      <c r="S270" s="2" t="s">
        <v>3516</v>
      </c>
    </row>
    <row customHeight="true" ht="15" r="271">
      <c r="A271" s="2">
        <v>2024</v>
      </c>
      <c r="B271" s="2">
        <v>6</v>
      </c>
      <c r="C271" s="2" t="s">
        <v>3517</v>
      </c>
      <c r="D271" s="2" t="s">
        <v>3518</v>
      </c>
      <c r="E271" s="2" t="s">
        <v>3519</v>
      </c>
      <c r="F271" s="2" t="s">
        <v>3520</v>
      </c>
      <c r="G271" s="2" t="s">
        <v>3521</v>
      </c>
      <c r="H271" s="2" t="s">
        <v>3522</v>
      </c>
      <c r="I271" s="2" t="s">
        <v>3523</v>
      </c>
      <c r="J271" s="2" t="s">
        <v>3524</v>
      </c>
      <c r="K271" s="3">
        <v>74789.28</v>
      </c>
      <c r="L271" s="3">
        <v>81397.09</v>
      </c>
      <c r="M271" s="3">
        <f>L271-K271</f>
      </c>
      <c r="N271" s="4">
        <f>IF(K271=0,0,M271/K271)</f>
      </c>
      <c r="O271" s="2" t="s">
        <v>3525</v>
      </c>
      <c r="P271" s="2" t="s">
        <v>3526</v>
      </c>
      <c r="Q271" s="2" t="s">
        <v>3527</v>
      </c>
      <c r="R271" s="2" t="s">
        <v>3528</v>
      </c>
      <c r="S271" s="2" t="s">
        <v>3529</v>
      </c>
    </row>
    <row customHeight="true" ht="15" r="272">
      <c r="A272" s="2">
        <v>2024</v>
      </c>
      <c r="B272" s="2">
        <v>7</v>
      </c>
      <c r="C272" s="2" t="s">
        <v>3530</v>
      </c>
      <c r="D272" s="2" t="s">
        <v>3531</v>
      </c>
      <c r="E272" s="2" t="s">
        <v>3532</v>
      </c>
      <c r="F272" s="2" t="s">
        <v>3533</v>
      </c>
      <c r="G272" s="2" t="s">
        <v>3534</v>
      </c>
      <c r="H272" s="2" t="s">
        <v>3535</v>
      </c>
      <c r="I272" s="2" t="s">
        <v>3536</v>
      </c>
      <c r="J272" s="2" t="s">
        <v>3537</v>
      </c>
      <c r="K272" s="3">
        <v>175038.38</v>
      </c>
      <c r="L272" s="3">
        <v>178725.66</v>
      </c>
      <c r="M272" s="3">
        <f>L272-K272</f>
      </c>
      <c r="N272" s="4">
        <f>IF(K272=0,0,M272/K272)</f>
      </c>
      <c r="O272" s="2" t="s">
        <v>3538</v>
      </c>
      <c r="P272" s="2" t="s">
        <v>3539</v>
      </c>
      <c r="Q272" s="2" t="s">
        <v>3540</v>
      </c>
      <c r="R272" s="2" t="s">
        <v>3541</v>
      </c>
      <c r="S272" s="2" t="s">
        <v>3542</v>
      </c>
    </row>
    <row customHeight="true" ht="15" r="273">
      <c r="A273" s="2">
        <v>2024</v>
      </c>
      <c r="B273" s="2">
        <v>7</v>
      </c>
      <c r="C273" s="2" t="s">
        <v>3543</v>
      </c>
      <c r="D273" s="2" t="s">
        <v>3544</v>
      </c>
      <c r="E273" s="2" t="s">
        <v>3545</v>
      </c>
      <c r="F273" s="2" t="s">
        <v>3546</v>
      </c>
      <c r="G273" s="2" t="s">
        <v>3547</v>
      </c>
      <c r="H273" s="2" t="s">
        <v>3548</v>
      </c>
      <c r="I273" s="2" t="s">
        <v>3549</v>
      </c>
      <c r="J273" s="2" t="s">
        <v>3550</v>
      </c>
      <c r="K273" s="3">
        <v>27248.07</v>
      </c>
      <c r="L273" s="3">
        <v>27841.41</v>
      </c>
      <c r="M273" s="3">
        <f>L273-K273</f>
      </c>
      <c r="N273" s="4">
        <f>IF(K273=0,0,M273/K273)</f>
      </c>
      <c r="O273" s="2" t="s">
        <v>3551</v>
      </c>
      <c r="P273" s="2" t="s">
        <v>3552</v>
      </c>
      <c r="Q273" s="2" t="s">
        <v>3553</v>
      </c>
      <c r="R273" s="2" t="s">
        <v>3554</v>
      </c>
      <c r="S273" s="2" t="s">
        <v>3555</v>
      </c>
    </row>
    <row customHeight="true" ht="15" r="274">
      <c r="A274" s="2">
        <v>2024</v>
      </c>
      <c r="B274" s="2">
        <v>7</v>
      </c>
      <c r="C274" s="2" t="s">
        <v>3556</v>
      </c>
      <c r="D274" s="2" t="s">
        <v>3557</v>
      </c>
      <c r="E274" s="2" t="s">
        <v>3558</v>
      </c>
      <c r="F274" s="2" t="s">
        <v>3559</v>
      </c>
      <c r="G274" s="2" t="s">
        <v>3560</v>
      </c>
      <c r="H274" s="2" t="s">
        <v>3561</v>
      </c>
      <c r="I274" s="2" t="s">
        <v>3562</v>
      </c>
      <c r="J274" s="2" t="s">
        <v>3563</v>
      </c>
      <c r="K274" s="3">
        <v>48613.34</v>
      </c>
      <c r="L274" s="3">
        <v>62268.38</v>
      </c>
      <c r="M274" s="3">
        <f>L274-K274</f>
      </c>
      <c r="N274" s="4">
        <f>IF(K274=0,0,M274/K274)</f>
      </c>
      <c r="O274" s="2" t="s">
        <v>3564</v>
      </c>
      <c r="P274" s="2" t="s">
        <v>3565</v>
      </c>
      <c r="Q274" s="2" t="s">
        <v>3566</v>
      </c>
      <c r="R274" s="2" t="s">
        <v>3567</v>
      </c>
      <c r="S274" s="2" t="s">
        <v>3568</v>
      </c>
    </row>
    <row customHeight="true" ht="15" r="275">
      <c r="A275" s="2">
        <v>2024</v>
      </c>
      <c r="B275" s="2">
        <v>7</v>
      </c>
      <c r="C275" s="2" t="s">
        <v>3569</v>
      </c>
      <c r="D275" s="2" t="s">
        <v>3570</v>
      </c>
      <c r="E275" s="2" t="s">
        <v>3571</v>
      </c>
      <c r="F275" s="2" t="s">
        <v>3572</v>
      </c>
      <c r="G275" s="2" t="s">
        <v>3573</v>
      </c>
      <c r="H275" s="2" t="s">
        <v>3574</v>
      </c>
      <c r="I275" s="2" t="s">
        <v>3575</v>
      </c>
      <c r="J275" s="2" t="s">
        <v>3576</v>
      </c>
      <c r="K275" s="3">
        <v>442386.78</v>
      </c>
      <c r="L275" s="3">
        <v>379719.6</v>
      </c>
      <c r="M275" s="3">
        <f>L275-K275</f>
      </c>
      <c r="N275" s="4">
        <f>IF(K275=0,0,M275/K275)</f>
      </c>
      <c r="O275" s="2" t="s">
        <v>3577</v>
      </c>
      <c r="P275" s="2" t="s">
        <v>3578</v>
      </c>
      <c r="Q275" s="2" t="s">
        <v>3579</v>
      </c>
      <c r="R275" s="2" t="s">
        <v>3580</v>
      </c>
      <c r="S275" s="2" t="s">
        <v>3581</v>
      </c>
    </row>
    <row customHeight="true" ht="15" r="276">
      <c r="A276" s="2">
        <v>2024</v>
      </c>
      <c r="B276" s="2">
        <v>7</v>
      </c>
      <c r="C276" s="2" t="s">
        <v>3582</v>
      </c>
      <c r="D276" s="2" t="s">
        <v>3583</v>
      </c>
      <c r="E276" s="2" t="s">
        <v>3584</v>
      </c>
      <c r="F276" s="2" t="s">
        <v>3585</v>
      </c>
      <c r="G276" s="2" t="s">
        <v>3586</v>
      </c>
      <c r="H276" s="2" t="s">
        <v>3587</v>
      </c>
      <c r="I276" s="2" t="s">
        <v>3588</v>
      </c>
      <c r="J276" s="2" t="s">
        <v>3589</v>
      </c>
      <c r="K276" s="3">
        <v>24957.33</v>
      </c>
      <c r="L276" s="3">
        <v>27208.79</v>
      </c>
      <c r="M276" s="3">
        <f>L276-K276</f>
      </c>
      <c r="N276" s="4">
        <f>IF(K276=0,0,M276/K276)</f>
      </c>
      <c r="O276" s="2" t="s">
        <v>3590</v>
      </c>
      <c r="P276" s="2" t="s">
        <v>3591</v>
      </c>
      <c r="Q276" s="2" t="s">
        <v>3592</v>
      </c>
      <c r="R276" s="2" t="s">
        <v>3593</v>
      </c>
      <c r="S276" s="2" t="s">
        <v>3594</v>
      </c>
    </row>
    <row customHeight="true" ht="15" r="277">
      <c r="A277" s="2">
        <v>2024</v>
      </c>
      <c r="B277" s="2">
        <v>7</v>
      </c>
      <c r="C277" s="2" t="s">
        <v>3595</v>
      </c>
      <c r="D277" s="2" t="s">
        <v>3596</v>
      </c>
      <c r="E277" s="2" t="s">
        <v>3597</v>
      </c>
      <c r="F277" s="2" t="s">
        <v>3598</v>
      </c>
      <c r="G277" s="2" t="s">
        <v>3599</v>
      </c>
      <c r="H277" s="2" t="s">
        <v>3600</v>
      </c>
      <c r="I277" s="2" t="s">
        <v>3601</v>
      </c>
      <c r="J277" s="2" t="s">
        <v>3602</v>
      </c>
      <c r="K277" s="3">
        <v>70650.31</v>
      </c>
      <c r="L277" s="3">
        <v>84422.11</v>
      </c>
      <c r="M277" s="3">
        <f>L277-K277</f>
      </c>
      <c r="N277" s="4">
        <f>IF(K277=0,0,M277/K277)</f>
      </c>
      <c r="O277" s="2" t="s">
        <v>3603</v>
      </c>
      <c r="P277" s="2" t="s">
        <v>3604</v>
      </c>
      <c r="Q277" s="2" t="s">
        <v>3605</v>
      </c>
      <c r="R277" s="2" t="s">
        <v>3606</v>
      </c>
      <c r="S277" s="2" t="s">
        <v>3607</v>
      </c>
    </row>
    <row customHeight="true" ht="15" r="278">
      <c r="A278" s="2">
        <v>2024</v>
      </c>
      <c r="B278" s="2">
        <v>7</v>
      </c>
      <c r="C278" s="2" t="s">
        <v>3608</v>
      </c>
      <c r="D278" s="2" t="s">
        <v>3609</v>
      </c>
      <c r="E278" s="2" t="s">
        <v>3610</v>
      </c>
      <c r="F278" s="2" t="s">
        <v>3611</v>
      </c>
      <c r="G278" s="2" t="s">
        <v>3612</v>
      </c>
      <c r="H278" s="2" t="s">
        <v>3613</v>
      </c>
      <c r="I278" s="2" t="s">
        <v>3614</v>
      </c>
      <c r="J278" s="2" t="s">
        <v>3615</v>
      </c>
      <c r="K278" s="3">
        <v>86694.74</v>
      </c>
      <c r="L278" s="3">
        <v>97982.65</v>
      </c>
      <c r="M278" s="3">
        <f>L278-K278</f>
      </c>
      <c r="N278" s="4">
        <f>IF(K278=0,0,M278/K278)</f>
      </c>
      <c r="O278" s="2" t="s">
        <v>3616</v>
      </c>
      <c r="P278" s="2" t="s">
        <v>3617</v>
      </c>
      <c r="Q278" s="2" t="s">
        <v>3618</v>
      </c>
      <c r="R278" s="2" t="s">
        <v>3619</v>
      </c>
      <c r="S278" s="2" t="s">
        <v>3620</v>
      </c>
    </row>
    <row customHeight="true" ht="15" r="279">
      <c r="A279" s="2">
        <v>2024</v>
      </c>
      <c r="B279" s="2">
        <v>7</v>
      </c>
      <c r="C279" s="2" t="s">
        <v>3621</v>
      </c>
      <c r="D279" s="2" t="s">
        <v>3622</v>
      </c>
      <c r="E279" s="2" t="s">
        <v>3623</v>
      </c>
      <c r="F279" s="2" t="s">
        <v>3624</v>
      </c>
      <c r="G279" s="2" t="s">
        <v>3625</v>
      </c>
      <c r="H279" s="2" t="s">
        <v>3626</v>
      </c>
      <c r="I279" s="2" t="s">
        <v>3627</v>
      </c>
      <c r="J279" s="2" t="s">
        <v>3628</v>
      </c>
      <c r="K279" s="3">
        <v>53758.14</v>
      </c>
      <c r="L279" s="3">
        <v>57448.91</v>
      </c>
      <c r="M279" s="3">
        <f>L279-K279</f>
      </c>
      <c r="N279" s="4">
        <f>IF(K279=0,0,M279/K279)</f>
      </c>
      <c r="O279" s="2" t="s">
        <v>3629</v>
      </c>
      <c r="P279" s="2" t="s">
        <v>3630</v>
      </c>
      <c r="Q279" s="2" t="s">
        <v>3631</v>
      </c>
      <c r="R279" s="2" t="s">
        <v>3632</v>
      </c>
      <c r="S279" s="2" t="s">
        <v>3633</v>
      </c>
    </row>
    <row customHeight="true" ht="15" r="280">
      <c r="A280" s="2">
        <v>2024</v>
      </c>
      <c r="B280" s="2">
        <v>7</v>
      </c>
      <c r="C280" s="2" t="s">
        <v>3634</v>
      </c>
      <c r="D280" s="2" t="s">
        <v>3635</v>
      </c>
      <c r="E280" s="2" t="s">
        <v>3636</v>
      </c>
      <c r="F280" s="2" t="s">
        <v>3637</v>
      </c>
      <c r="G280" s="2" t="s">
        <v>3638</v>
      </c>
      <c r="H280" s="2" t="s">
        <v>3639</v>
      </c>
      <c r="I280" s="2" t="s">
        <v>3640</v>
      </c>
      <c r="J280" s="2" t="s">
        <v>3641</v>
      </c>
      <c r="K280" s="3">
        <v>74316.31</v>
      </c>
      <c r="L280" s="3">
        <v>87751.83</v>
      </c>
      <c r="M280" s="3">
        <f>L280-K280</f>
      </c>
      <c r="N280" s="4">
        <f>IF(K280=0,0,M280/K280)</f>
      </c>
      <c r="O280" s="2" t="s">
        <v>3642</v>
      </c>
      <c r="P280" s="2" t="s">
        <v>3643</v>
      </c>
      <c r="Q280" s="2" t="s">
        <v>3644</v>
      </c>
      <c r="R280" s="2" t="s">
        <v>3645</v>
      </c>
      <c r="S280" s="2" t="s">
        <v>3646</v>
      </c>
    </row>
    <row customHeight="true" ht="15" r="281">
      <c r="A281" s="2">
        <v>2024</v>
      </c>
      <c r="B281" s="2">
        <v>7</v>
      </c>
      <c r="C281" s="2" t="s">
        <v>3647</v>
      </c>
      <c r="D281" s="2" t="s">
        <v>3648</v>
      </c>
      <c r="E281" s="2" t="s">
        <v>3649</v>
      </c>
      <c r="F281" s="2" t="s">
        <v>3650</v>
      </c>
      <c r="G281" s="2" t="s">
        <v>3651</v>
      </c>
      <c r="H281" s="2" t="s">
        <v>3652</v>
      </c>
      <c r="I281" s="2" t="s">
        <v>3653</v>
      </c>
      <c r="J281" s="2" t="s">
        <v>3654</v>
      </c>
      <c r="K281" s="3">
        <v>127970.01</v>
      </c>
      <c r="L281" s="3">
        <v>130074.92</v>
      </c>
      <c r="M281" s="3">
        <f>L281-K281</f>
      </c>
      <c r="N281" s="4">
        <f>IF(K281=0,0,M281/K281)</f>
      </c>
      <c r="O281" s="2" t="s">
        <v>3655</v>
      </c>
      <c r="P281" s="2" t="s">
        <v>3656</v>
      </c>
      <c r="Q281" s="2" t="s">
        <v>3657</v>
      </c>
      <c r="R281" s="2" t="s">
        <v>3658</v>
      </c>
      <c r="S281" s="2" t="s">
        <v>3659</v>
      </c>
    </row>
    <row customHeight="true" ht="15" r="282">
      <c r="A282" s="2">
        <v>2024</v>
      </c>
      <c r="B282" s="2">
        <v>7</v>
      </c>
      <c r="C282" s="2" t="s">
        <v>3660</v>
      </c>
      <c r="D282" s="2" t="s">
        <v>3661</v>
      </c>
      <c r="E282" s="2" t="s">
        <v>3662</v>
      </c>
      <c r="F282" s="2" t="s">
        <v>3663</v>
      </c>
      <c r="G282" s="2" t="s">
        <v>3664</v>
      </c>
      <c r="H282" s="2" t="s">
        <v>3665</v>
      </c>
      <c r="I282" s="2" t="s">
        <v>3666</v>
      </c>
      <c r="J282" s="2" t="s">
        <v>3667</v>
      </c>
      <c r="K282" s="3">
        <v>23042.89</v>
      </c>
      <c r="L282" s="3">
        <v>21609.45</v>
      </c>
      <c r="M282" s="3">
        <f>L282-K282</f>
      </c>
      <c r="N282" s="4">
        <f>IF(K282=0,0,M282/K282)</f>
      </c>
      <c r="O282" s="2" t="s">
        <v>3668</v>
      </c>
      <c r="P282" s="2" t="s">
        <v>3669</v>
      </c>
      <c r="Q282" s="2" t="s">
        <v>3670</v>
      </c>
      <c r="R282" s="2" t="s">
        <v>3671</v>
      </c>
      <c r="S282" s="2" t="s">
        <v>3672</v>
      </c>
    </row>
    <row customHeight="true" ht="15" r="283">
      <c r="A283" s="2">
        <v>2024</v>
      </c>
      <c r="B283" s="2">
        <v>7</v>
      </c>
      <c r="C283" s="2" t="s">
        <v>3673</v>
      </c>
      <c r="D283" s="2" t="s">
        <v>3674</v>
      </c>
      <c r="E283" s="2" t="s">
        <v>3675</v>
      </c>
      <c r="F283" s="2" t="s">
        <v>3676</v>
      </c>
      <c r="G283" s="2" t="s">
        <v>3677</v>
      </c>
      <c r="H283" s="2" t="s">
        <v>3678</v>
      </c>
      <c r="I283" s="2" t="s">
        <v>3679</v>
      </c>
      <c r="J283" s="2" t="s">
        <v>3680</v>
      </c>
      <c r="K283" s="3">
        <v>150300.23</v>
      </c>
      <c r="L283" s="3">
        <v>169703.14</v>
      </c>
      <c r="M283" s="3">
        <f>L283-K283</f>
      </c>
      <c r="N283" s="4">
        <f>IF(K283=0,0,M283/K283)</f>
      </c>
      <c r="O283" s="2" t="s">
        <v>3681</v>
      </c>
      <c r="P283" s="2" t="s">
        <v>3682</v>
      </c>
      <c r="Q283" s="2" t="s">
        <v>3683</v>
      </c>
      <c r="R283" s="2" t="s">
        <v>3684</v>
      </c>
      <c r="S283" s="2" t="s">
        <v>3685</v>
      </c>
    </row>
    <row customHeight="true" ht="15" r="284">
      <c r="A284" s="2">
        <v>2024</v>
      </c>
      <c r="B284" s="2">
        <v>7</v>
      </c>
      <c r="C284" s="2" t="s">
        <v>3686</v>
      </c>
      <c r="D284" s="2" t="s">
        <v>3687</v>
      </c>
      <c r="E284" s="2" t="s">
        <v>3688</v>
      </c>
      <c r="F284" s="2" t="s">
        <v>3689</v>
      </c>
      <c r="G284" s="2" t="s">
        <v>3690</v>
      </c>
      <c r="H284" s="2" t="s">
        <v>3691</v>
      </c>
      <c r="I284" s="2" t="s">
        <v>3692</v>
      </c>
      <c r="J284" s="2" t="s">
        <v>3693</v>
      </c>
      <c r="K284" s="3">
        <v>115962.18</v>
      </c>
      <c r="L284" s="3">
        <v>137562.79</v>
      </c>
      <c r="M284" s="3">
        <f>L284-K284</f>
      </c>
      <c r="N284" s="4">
        <f>IF(K284=0,0,M284/K284)</f>
      </c>
      <c r="O284" s="2" t="s">
        <v>3694</v>
      </c>
      <c r="P284" s="2" t="s">
        <v>3695</v>
      </c>
      <c r="Q284" s="2" t="s">
        <v>3696</v>
      </c>
      <c r="R284" s="2" t="s">
        <v>3697</v>
      </c>
      <c r="S284" s="2" t="s">
        <v>3698</v>
      </c>
    </row>
    <row customHeight="true" ht="15" r="285">
      <c r="A285" s="2">
        <v>2024</v>
      </c>
      <c r="B285" s="2">
        <v>7</v>
      </c>
      <c r="C285" s="2" t="s">
        <v>3699</v>
      </c>
      <c r="D285" s="2" t="s">
        <v>3700</v>
      </c>
      <c r="E285" s="2" t="s">
        <v>3701</v>
      </c>
      <c r="F285" s="2" t="s">
        <v>3702</v>
      </c>
      <c r="G285" s="2" t="s">
        <v>3703</v>
      </c>
      <c r="H285" s="2" t="s">
        <v>3704</v>
      </c>
      <c r="I285" s="2" t="s">
        <v>3705</v>
      </c>
      <c r="J285" s="2" t="s">
        <v>3706</v>
      </c>
      <c r="K285" s="3">
        <v>228778.2</v>
      </c>
      <c r="L285" s="3">
        <v>203812.99</v>
      </c>
      <c r="M285" s="3">
        <f>L285-K285</f>
      </c>
      <c r="N285" s="4">
        <f>IF(K285=0,0,M285/K285)</f>
      </c>
      <c r="O285" s="2" t="s">
        <v>3707</v>
      </c>
      <c r="P285" s="2" t="s">
        <v>3708</v>
      </c>
      <c r="Q285" s="2" t="s">
        <v>3709</v>
      </c>
      <c r="R285" s="2" t="s">
        <v>3710</v>
      </c>
      <c r="S285" s="2" t="s">
        <v>3711</v>
      </c>
    </row>
    <row customHeight="true" ht="15" r="286">
      <c r="A286" s="2">
        <v>2024</v>
      </c>
      <c r="B286" s="2">
        <v>7</v>
      </c>
      <c r="C286" s="2" t="s">
        <v>3712</v>
      </c>
      <c r="D286" s="2" t="s">
        <v>3713</v>
      </c>
      <c r="E286" s="2" t="s">
        <v>3714</v>
      </c>
      <c r="F286" s="2" t="s">
        <v>3715</v>
      </c>
      <c r="G286" s="2" t="s">
        <v>3716</v>
      </c>
      <c r="H286" s="2" t="s">
        <v>3717</v>
      </c>
      <c r="I286" s="2" t="s">
        <v>3718</v>
      </c>
      <c r="J286" s="2" t="s">
        <v>3719</v>
      </c>
      <c r="K286" s="3">
        <v>102991</v>
      </c>
      <c r="L286" s="3">
        <v>117500.16</v>
      </c>
      <c r="M286" s="3">
        <f>L286-K286</f>
      </c>
      <c r="N286" s="4">
        <f>IF(K286=0,0,M286/K286)</f>
      </c>
      <c r="O286" s="2" t="s">
        <v>3720</v>
      </c>
      <c r="P286" s="2" t="s">
        <v>3721</v>
      </c>
      <c r="Q286" s="2" t="s">
        <v>3722</v>
      </c>
      <c r="R286" s="2" t="s">
        <v>3723</v>
      </c>
      <c r="S286" s="2" t="s">
        <v>3724</v>
      </c>
    </row>
    <row customHeight="true" ht="15" r="287">
      <c r="A287" s="2">
        <v>2024</v>
      </c>
      <c r="B287" s="2">
        <v>8</v>
      </c>
      <c r="C287" s="2" t="s">
        <v>3725</v>
      </c>
      <c r="D287" s="2" t="s">
        <v>3726</v>
      </c>
      <c r="E287" s="2" t="s">
        <v>3727</v>
      </c>
      <c r="F287" s="2" t="s">
        <v>3728</v>
      </c>
      <c r="G287" s="2" t="s">
        <v>3729</v>
      </c>
      <c r="H287" s="2" t="s">
        <v>3730</v>
      </c>
      <c r="I287" s="2" t="s">
        <v>3731</v>
      </c>
      <c r="J287" s="2" t="s">
        <v>3732</v>
      </c>
      <c r="K287" s="3">
        <v>189663.79</v>
      </c>
      <c r="L287" s="3">
        <v>230124.09</v>
      </c>
      <c r="M287" s="3">
        <f>L287-K287</f>
      </c>
      <c r="N287" s="4">
        <f>IF(K287=0,0,M287/K287)</f>
      </c>
      <c r="O287" s="2" t="s">
        <v>3733</v>
      </c>
      <c r="P287" s="2" t="s">
        <v>3734</v>
      </c>
      <c r="Q287" s="2" t="s">
        <v>3735</v>
      </c>
      <c r="R287" s="2" t="s">
        <v>3736</v>
      </c>
      <c r="S287" s="2" t="s">
        <v>3737</v>
      </c>
    </row>
    <row customHeight="true" ht="15" r="288">
      <c r="A288" s="2">
        <v>2024</v>
      </c>
      <c r="B288" s="2">
        <v>8</v>
      </c>
      <c r="C288" s="2" t="s">
        <v>3738</v>
      </c>
      <c r="D288" s="2" t="s">
        <v>3739</v>
      </c>
      <c r="E288" s="2" t="s">
        <v>3740</v>
      </c>
      <c r="F288" s="2" t="s">
        <v>3741</v>
      </c>
      <c r="G288" s="2" t="s">
        <v>3742</v>
      </c>
      <c r="H288" s="2" t="s">
        <v>3743</v>
      </c>
      <c r="I288" s="2" t="s">
        <v>3744</v>
      </c>
      <c r="J288" s="2" t="s">
        <v>3745</v>
      </c>
      <c r="K288" s="3">
        <v>59199.86</v>
      </c>
      <c r="L288" s="3">
        <v>71346.14</v>
      </c>
      <c r="M288" s="3">
        <f>L288-K288</f>
      </c>
      <c r="N288" s="4">
        <f>IF(K288=0,0,M288/K288)</f>
      </c>
      <c r="O288" s="2" t="s">
        <v>3746</v>
      </c>
      <c r="P288" s="2" t="s">
        <v>3747</v>
      </c>
      <c r="Q288" s="2" t="s">
        <v>3748</v>
      </c>
      <c r="R288" s="2" t="s">
        <v>3749</v>
      </c>
      <c r="S288" s="2" t="s">
        <v>3750</v>
      </c>
    </row>
    <row customHeight="true" ht="15" r="289">
      <c r="A289" s="2">
        <v>2024</v>
      </c>
      <c r="B289" s="2">
        <v>8</v>
      </c>
      <c r="C289" s="2" t="s">
        <v>3751</v>
      </c>
      <c r="D289" s="2" t="s">
        <v>3752</v>
      </c>
      <c r="E289" s="2" t="s">
        <v>3753</v>
      </c>
      <c r="F289" s="2" t="s">
        <v>3754</v>
      </c>
      <c r="G289" s="2" t="s">
        <v>3755</v>
      </c>
      <c r="H289" s="2" t="s">
        <v>3756</v>
      </c>
      <c r="I289" s="2" t="s">
        <v>3757</v>
      </c>
      <c r="J289" s="2" t="s">
        <v>3758</v>
      </c>
      <c r="K289" s="3">
        <v>33303.48</v>
      </c>
      <c r="L289" s="3">
        <v>37127.61</v>
      </c>
      <c r="M289" s="3">
        <f>L289-K289</f>
      </c>
      <c r="N289" s="4">
        <f>IF(K289=0,0,M289/K289)</f>
      </c>
      <c r="O289" s="2" t="s">
        <v>3759</v>
      </c>
      <c r="P289" s="2" t="s">
        <v>3760</v>
      </c>
      <c r="Q289" s="2" t="s">
        <v>3761</v>
      </c>
      <c r="R289" s="2" t="s">
        <v>3762</v>
      </c>
      <c r="S289" s="2" t="s">
        <v>3763</v>
      </c>
    </row>
    <row customHeight="true" ht="15" r="290">
      <c r="A290" s="2">
        <v>2024</v>
      </c>
      <c r="B290" s="2">
        <v>8</v>
      </c>
      <c r="C290" s="2" t="s">
        <v>3764</v>
      </c>
      <c r="D290" s="2" t="s">
        <v>3765</v>
      </c>
      <c r="E290" s="2" t="s">
        <v>3766</v>
      </c>
      <c r="F290" s="2" t="s">
        <v>3767</v>
      </c>
      <c r="G290" s="2" t="s">
        <v>3768</v>
      </c>
      <c r="H290" s="2" t="s">
        <v>3769</v>
      </c>
      <c r="I290" s="2" t="s">
        <v>3770</v>
      </c>
      <c r="J290" s="2" t="s">
        <v>3771</v>
      </c>
      <c r="K290" s="3">
        <v>119083.64</v>
      </c>
      <c r="L290" s="3">
        <v>138720.08</v>
      </c>
      <c r="M290" s="3">
        <f>L290-K290</f>
      </c>
      <c r="N290" s="4">
        <f>IF(K290=0,0,M290/K290)</f>
      </c>
      <c r="O290" s="2" t="s">
        <v>3772</v>
      </c>
      <c r="P290" s="2" t="s">
        <v>3773</v>
      </c>
      <c r="Q290" s="2" t="s">
        <v>3774</v>
      </c>
      <c r="R290" s="2" t="s">
        <v>3775</v>
      </c>
      <c r="S290" s="2" t="s">
        <v>3776</v>
      </c>
    </row>
    <row customHeight="true" ht="15" r="291">
      <c r="A291" s="2">
        <v>2024</v>
      </c>
      <c r="B291" s="2">
        <v>8</v>
      </c>
      <c r="C291" s="2" t="s">
        <v>3777</v>
      </c>
      <c r="D291" s="2" t="s">
        <v>3778</v>
      </c>
      <c r="E291" s="2" t="s">
        <v>3779</v>
      </c>
      <c r="F291" s="2" t="s">
        <v>3780</v>
      </c>
      <c r="G291" s="2" t="s">
        <v>3781</v>
      </c>
      <c r="H291" s="2" t="s">
        <v>3782</v>
      </c>
      <c r="I291" s="2" t="s">
        <v>3783</v>
      </c>
      <c r="J291" s="2" t="s">
        <v>3784</v>
      </c>
      <c r="K291" s="3">
        <v>161415.74</v>
      </c>
      <c r="L291" s="3">
        <v>129598.33</v>
      </c>
      <c r="M291" s="3">
        <f>L291-K291</f>
      </c>
      <c r="N291" s="4">
        <f>IF(K291=0,0,M291/K291)</f>
      </c>
      <c r="O291" s="2" t="s">
        <v>3785</v>
      </c>
      <c r="P291" s="2" t="s">
        <v>3786</v>
      </c>
      <c r="Q291" s="2" t="s">
        <v>3787</v>
      </c>
      <c r="R291" s="2" t="s">
        <v>3788</v>
      </c>
      <c r="S291" s="2" t="s">
        <v>3789</v>
      </c>
    </row>
    <row customHeight="true" ht="15" r="292">
      <c r="A292" s="2">
        <v>2024</v>
      </c>
      <c r="B292" s="2">
        <v>8</v>
      </c>
      <c r="C292" s="2" t="s">
        <v>3790</v>
      </c>
      <c r="D292" s="2" t="s">
        <v>3791</v>
      </c>
      <c r="E292" s="2" t="s">
        <v>3792</v>
      </c>
      <c r="F292" s="2" t="s">
        <v>3793</v>
      </c>
      <c r="G292" s="2" t="s">
        <v>3794</v>
      </c>
      <c r="H292" s="2" t="s">
        <v>3795</v>
      </c>
      <c r="I292" s="2" t="s">
        <v>3796</v>
      </c>
      <c r="J292" s="2" t="s">
        <v>3797</v>
      </c>
      <c r="K292" s="3">
        <v>69173</v>
      </c>
      <c r="L292" s="3">
        <v>69556.7</v>
      </c>
      <c r="M292" s="3">
        <f>L292-K292</f>
      </c>
      <c r="N292" s="4">
        <f>IF(K292=0,0,M292/K292)</f>
      </c>
      <c r="O292" s="2" t="s">
        <v>3798</v>
      </c>
      <c r="P292" s="2" t="s">
        <v>3799</v>
      </c>
      <c r="Q292" s="2" t="s">
        <v>3800</v>
      </c>
      <c r="R292" s="2" t="s">
        <v>3801</v>
      </c>
      <c r="S292" s="2" t="s">
        <v>3802</v>
      </c>
    </row>
    <row customHeight="true" ht="15" r="293">
      <c r="A293" s="2">
        <v>2024</v>
      </c>
      <c r="B293" s="2">
        <v>8</v>
      </c>
      <c r="C293" s="2" t="s">
        <v>3803</v>
      </c>
      <c r="D293" s="2" t="s">
        <v>3804</v>
      </c>
      <c r="E293" s="2" t="s">
        <v>3805</v>
      </c>
      <c r="F293" s="2" t="s">
        <v>3806</v>
      </c>
      <c r="G293" s="2" t="s">
        <v>3807</v>
      </c>
      <c r="H293" s="2" t="s">
        <v>3808</v>
      </c>
      <c r="I293" s="2" t="s">
        <v>3809</v>
      </c>
      <c r="J293" s="2" t="s">
        <v>3810</v>
      </c>
      <c r="K293" s="3">
        <v>98065.64</v>
      </c>
      <c r="L293" s="3">
        <v>119415.89</v>
      </c>
      <c r="M293" s="3">
        <f>L293-K293</f>
      </c>
      <c r="N293" s="4">
        <f>IF(K293=0,0,M293/K293)</f>
      </c>
      <c r="O293" s="2" t="s">
        <v>3811</v>
      </c>
      <c r="P293" s="2" t="s">
        <v>3812</v>
      </c>
      <c r="Q293" s="2" t="s">
        <v>3813</v>
      </c>
      <c r="R293" s="2" t="s">
        <v>3814</v>
      </c>
      <c r="S293" s="2" t="s">
        <v>3815</v>
      </c>
    </row>
    <row customHeight="true" ht="15" r="294">
      <c r="A294" s="2">
        <v>2024</v>
      </c>
      <c r="B294" s="2">
        <v>8</v>
      </c>
      <c r="C294" s="2" t="s">
        <v>3816</v>
      </c>
      <c r="D294" s="2" t="s">
        <v>3817</v>
      </c>
      <c r="E294" s="2" t="s">
        <v>3818</v>
      </c>
      <c r="F294" s="2" t="s">
        <v>3819</v>
      </c>
      <c r="G294" s="2" t="s">
        <v>3820</v>
      </c>
      <c r="H294" s="2" t="s">
        <v>3821</v>
      </c>
      <c r="I294" s="2" t="s">
        <v>3822</v>
      </c>
      <c r="J294" s="2" t="s">
        <v>3823</v>
      </c>
      <c r="K294" s="3">
        <v>184489.49</v>
      </c>
      <c r="L294" s="3">
        <v>187496.35</v>
      </c>
      <c r="M294" s="3">
        <f>L294-K294</f>
      </c>
      <c r="N294" s="4">
        <f>IF(K294=0,0,M294/K294)</f>
      </c>
      <c r="O294" s="2" t="s">
        <v>3824</v>
      </c>
      <c r="P294" s="2" t="s">
        <v>3825</v>
      </c>
      <c r="Q294" s="2" t="s">
        <v>3826</v>
      </c>
      <c r="R294" s="2" t="s">
        <v>3827</v>
      </c>
      <c r="S294" s="2" t="s">
        <v>3828</v>
      </c>
    </row>
    <row customHeight="true" ht="15" r="295">
      <c r="A295" s="2">
        <v>2024</v>
      </c>
      <c r="B295" s="2">
        <v>8</v>
      </c>
      <c r="C295" s="2" t="s">
        <v>3829</v>
      </c>
      <c r="D295" s="2" t="s">
        <v>3830</v>
      </c>
      <c r="E295" s="2" t="s">
        <v>3831</v>
      </c>
      <c r="F295" s="2" t="s">
        <v>3832</v>
      </c>
      <c r="G295" s="2" t="s">
        <v>3833</v>
      </c>
      <c r="H295" s="2" t="s">
        <v>3834</v>
      </c>
      <c r="I295" s="2" t="s">
        <v>3835</v>
      </c>
      <c r="J295" s="2" t="s">
        <v>3836</v>
      </c>
      <c r="K295" s="3">
        <v>148130.19</v>
      </c>
      <c r="L295" s="3">
        <v>176301.57</v>
      </c>
      <c r="M295" s="3">
        <f>L295-K295</f>
      </c>
      <c r="N295" s="4">
        <f>IF(K295=0,0,M295/K295)</f>
      </c>
      <c r="O295" s="2" t="s">
        <v>3837</v>
      </c>
      <c r="P295" s="2" t="s">
        <v>3838</v>
      </c>
      <c r="Q295" s="2" t="s">
        <v>3839</v>
      </c>
      <c r="R295" s="2" t="s">
        <v>3840</v>
      </c>
      <c r="S295" s="2" t="s">
        <v>3841</v>
      </c>
    </row>
    <row customHeight="true" ht="15" r="296">
      <c r="A296" s="2">
        <v>2024</v>
      </c>
      <c r="B296" s="2">
        <v>8</v>
      </c>
      <c r="C296" s="2" t="s">
        <v>3842</v>
      </c>
      <c r="D296" s="2" t="s">
        <v>3843</v>
      </c>
      <c r="E296" s="2" t="s">
        <v>3844</v>
      </c>
      <c r="F296" s="2" t="s">
        <v>3845</v>
      </c>
      <c r="G296" s="2" t="s">
        <v>3846</v>
      </c>
      <c r="H296" s="2" t="s">
        <v>3847</v>
      </c>
      <c r="I296" s="2" t="s">
        <v>3848</v>
      </c>
      <c r="J296" s="2" t="s">
        <v>3849</v>
      </c>
      <c r="K296" s="3">
        <v>426927.56</v>
      </c>
      <c r="L296" s="3">
        <v>479047.52</v>
      </c>
      <c r="M296" s="3">
        <f>L296-K296</f>
      </c>
      <c r="N296" s="4">
        <f>IF(K296=0,0,M296/K296)</f>
      </c>
      <c r="O296" s="2" t="s">
        <v>3850</v>
      </c>
      <c r="P296" s="2" t="s">
        <v>3851</v>
      </c>
      <c r="Q296" s="2" t="s">
        <v>3852</v>
      </c>
      <c r="R296" s="2" t="s">
        <v>3853</v>
      </c>
      <c r="S296" s="2" t="s">
        <v>3854</v>
      </c>
    </row>
    <row customHeight="true" ht="15" r="297">
      <c r="A297" s="2">
        <v>2024</v>
      </c>
      <c r="B297" s="2">
        <v>8</v>
      </c>
      <c r="C297" s="2" t="s">
        <v>3855</v>
      </c>
      <c r="D297" s="2" t="s">
        <v>3856</v>
      </c>
      <c r="E297" s="2" t="s">
        <v>3857</v>
      </c>
      <c r="F297" s="2" t="s">
        <v>3858</v>
      </c>
      <c r="G297" s="2" t="s">
        <v>3859</v>
      </c>
      <c r="H297" s="2" t="s">
        <v>3860</v>
      </c>
      <c r="I297" s="2" t="s">
        <v>3861</v>
      </c>
      <c r="J297" s="2" t="s">
        <v>3862</v>
      </c>
      <c r="K297" s="3">
        <v>197376.94</v>
      </c>
      <c r="L297" s="3">
        <v>252970.45</v>
      </c>
      <c r="M297" s="3">
        <f>L297-K297</f>
      </c>
      <c r="N297" s="4">
        <f>IF(K297=0,0,M297/K297)</f>
      </c>
      <c r="O297" s="2" t="s">
        <v>3863</v>
      </c>
      <c r="P297" s="2" t="s">
        <v>3864</v>
      </c>
      <c r="Q297" s="2" t="s">
        <v>3865</v>
      </c>
      <c r="R297" s="2" t="s">
        <v>3866</v>
      </c>
      <c r="S297" s="2" t="s">
        <v>3867</v>
      </c>
    </row>
    <row customHeight="true" ht="15" r="298">
      <c r="A298" s="2">
        <v>2024</v>
      </c>
      <c r="B298" s="2">
        <v>8</v>
      </c>
      <c r="C298" s="2" t="s">
        <v>3868</v>
      </c>
      <c r="D298" s="2" t="s">
        <v>3869</v>
      </c>
      <c r="E298" s="2" t="s">
        <v>3870</v>
      </c>
      <c r="F298" s="2" t="s">
        <v>3871</v>
      </c>
      <c r="G298" s="2" t="s">
        <v>3872</v>
      </c>
      <c r="H298" s="2" t="s">
        <v>3873</v>
      </c>
      <c r="I298" s="2" t="s">
        <v>3874</v>
      </c>
      <c r="J298" s="2" t="s">
        <v>3875</v>
      </c>
      <c r="K298" s="3">
        <v>118953.5</v>
      </c>
      <c r="L298" s="3">
        <v>108639.36</v>
      </c>
      <c r="M298" s="3">
        <f>L298-K298</f>
      </c>
      <c r="N298" s="4">
        <f>IF(K298=0,0,M298/K298)</f>
      </c>
      <c r="O298" s="2" t="s">
        <v>3876</v>
      </c>
      <c r="P298" s="2" t="s">
        <v>3877</v>
      </c>
      <c r="Q298" s="2" t="s">
        <v>3878</v>
      </c>
      <c r="R298" s="2" t="s">
        <v>3879</v>
      </c>
      <c r="S298" s="2" t="s">
        <v>3880</v>
      </c>
    </row>
    <row customHeight="true" ht="15" r="299">
      <c r="A299" s="2">
        <v>2024</v>
      </c>
      <c r="B299" s="2">
        <v>8</v>
      </c>
      <c r="C299" s="2" t="s">
        <v>3881</v>
      </c>
      <c r="D299" s="2" t="s">
        <v>3882</v>
      </c>
      <c r="E299" s="2" t="s">
        <v>3883</v>
      </c>
      <c r="F299" s="2" t="s">
        <v>3884</v>
      </c>
      <c r="G299" s="2" t="s">
        <v>3885</v>
      </c>
      <c r="H299" s="2" t="s">
        <v>3886</v>
      </c>
      <c r="I299" s="2" t="s">
        <v>3887</v>
      </c>
      <c r="J299" s="2" t="s">
        <v>3888</v>
      </c>
      <c r="K299" s="3">
        <v>24175.4</v>
      </c>
      <c r="L299" s="3">
        <v>27286.97</v>
      </c>
      <c r="M299" s="3">
        <f>L299-K299</f>
      </c>
      <c r="N299" s="4">
        <f>IF(K299=0,0,M299/K299)</f>
      </c>
      <c r="O299" s="2" t="s">
        <v>3889</v>
      </c>
      <c r="P299" s="2" t="s">
        <v>3890</v>
      </c>
      <c r="Q299" s="2" t="s">
        <v>3891</v>
      </c>
      <c r="R299" s="2" t="s">
        <v>3892</v>
      </c>
      <c r="S299" s="2" t="s">
        <v>3893</v>
      </c>
    </row>
    <row customHeight="true" ht="15" r="300">
      <c r="A300" s="2">
        <v>2024</v>
      </c>
      <c r="B300" s="2">
        <v>8</v>
      </c>
      <c r="C300" s="2" t="s">
        <v>3894</v>
      </c>
      <c r="D300" s="2" t="s">
        <v>3895</v>
      </c>
      <c r="E300" s="2" t="s">
        <v>3896</v>
      </c>
      <c r="F300" s="2" t="s">
        <v>3897</v>
      </c>
      <c r="G300" s="2" t="s">
        <v>3898</v>
      </c>
      <c r="H300" s="2" t="s">
        <v>3899</v>
      </c>
      <c r="I300" s="2" t="s">
        <v>3900</v>
      </c>
      <c r="J300" s="2" t="s">
        <v>3901</v>
      </c>
      <c r="K300" s="3">
        <v>160826.22</v>
      </c>
      <c r="L300" s="3">
        <v>195400.39</v>
      </c>
      <c r="M300" s="3">
        <f>L300-K300</f>
      </c>
      <c r="N300" s="4">
        <f>IF(K300=0,0,M300/K300)</f>
      </c>
      <c r="O300" s="2" t="s">
        <v>3902</v>
      </c>
      <c r="P300" s="2" t="s">
        <v>3903</v>
      </c>
      <c r="Q300" s="2" t="s">
        <v>3904</v>
      </c>
      <c r="R300" s="2" t="s">
        <v>3905</v>
      </c>
      <c r="S300" s="2" t="s">
        <v>3906</v>
      </c>
    </row>
    <row customHeight="true" ht="15" r="301">
      <c r="A301" s="2">
        <v>2024</v>
      </c>
      <c r="B301" s="2">
        <v>8</v>
      </c>
      <c r="C301" s="2" t="s">
        <v>3907</v>
      </c>
      <c r="D301" s="2" t="s">
        <v>3908</v>
      </c>
      <c r="E301" s="2" t="s">
        <v>3909</v>
      </c>
      <c r="F301" s="2" t="s">
        <v>3910</v>
      </c>
      <c r="G301" s="2" t="s">
        <v>3911</v>
      </c>
      <c r="H301" s="2" t="s">
        <v>3912</v>
      </c>
      <c r="I301" s="2" t="s">
        <v>3913</v>
      </c>
      <c r="J301" s="2" t="s">
        <v>3914</v>
      </c>
      <c r="K301" s="3">
        <v>363060.51</v>
      </c>
      <c r="L301" s="3">
        <v>431986.54</v>
      </c>
      <c r="M301" s="3">
        <f>L301-K301</f>
      </c>
      <c r="N301" s="4">
        <f>IF(K301=0,0,M301/K301)</f>
      </c>
      <c r="O301" s="2" t="s">
        <v>3915</v>
      </c>
      <c r="P301" s="2" t="s">
        <v>3916</v>
      </c>
      <c r="Q301" s="2" t="s">
        <v>3917</v>
      </c>
      <c r="R301" s="2" t="s">
        <v>3918</v>
      </c>
      <c r="S301" s="2" t="s">
        <v>3919</v>
      </c>
    </row>
    <row customHeight="true" ht="15" r="302">
      <c r="A302" s="2">
        <v>2024</v>
      </c>
      <c r="B302" s="2">
        <v>9</v>
      </c>
      <c r="C302" s="2" t="s">
        <v>3920</v>
      </c>
      <c r="D302" s="2" t="s">
        <v>3921</v>
      </c>
      <c r="E302" s="2" t="s">
        <v>3922</v>
      </c>
      <c r="F302" s="2" t="s">
        <v>3923</v>
      </c>
      <c r="G302" s="2" t="s">
        <v>3924</v>
      </c>
      <c r="H302" s="2" t="s">
        <v>3925</v>
      </c>
      <c r="I302" s="2" t="s">
        <v>3926</v>
      </c>
      <c r="J302" s="2" t="s">
        <v>3927</v>
      </c>
      <c r="K302" s="3">
        <v>126769.55</v>
      </c>
      <c r="L302" s="3">
        <v>142560.04</v>
      </c>
      <c r="M302" s="3">
        <f>L302-K302</f>
      </c>
      <c r="N302" s="4">
        <f>IF(K302=0,0,M302/K302)</f>
      </c>
      <c r="O302" s="2" t="s">
        <v>3928</v>
      </c>
      <c r="P302" s="2" t="s">
        <v>3929</v>
      </c>
      <c r="Q302" s="2" t="s">
        <v>3930</v>
      </c>
      <c r="R302" s="2" t="s">
        <v>3931</v>
      </c>
      <c r="S302" s="2" t="s">
        <v>3932</v>
      </c>
    </row>
    <row customHeight="true" ht="15" r="303">
      <c r="A303" s="2">
        <v>2024</v>
      </c>
      <c r="B303" s="2">
        <v>9</v>
      </c>
      <c r="C303" s="2" t="s">
        <v>3933</v>
      </c>
      <c r="D303" s="2" t="s">
        <v>3934</v>
      </c>
      <c r="E303" s="2" t="s">
        <v>3935</v>
      </c>
      <c r="F303" s="2" t="s">
        <v>3936</v>
      </c>
      <c r="G303" s="2" t="s">
        <v>3937</v>
      </c>
      <c r="H303" s="2" t="s">
        <v>3938</v>
      </c>
      <c r="I303" s="2" t="s">
        <v>3939</v>
      </c>
      <c r="J303" s="2" t="s">
        <v>3940</v>
      </c>
      <c r="K303" s="3">
        <v>174719.91</v>
      </c>
      <c r="L303" s="3">
        <v>203100.39</v>
      </c>
      <c r="M303" s="3">
        <f>L303-K303</f>
      </c>
      <c r="N303" s="4">
        <f>IF(K303=0,0,M303/K303)</f>
      </c>
      <c r="O303" s="2" t="s">
        <v>3941</v>
      </c>
      <c r="P303" s="2" t="s">
        <v>3942</v>
      </c>
      <c r="Q303" s="2" t="s">
        <v>3943</v>
      </c>
      <c r="R303" s="2" t="s">
        <v>3944</v>
      </c>
      <c r="S303" s="2" t="s">
        <v>3945</v>
      </c>
    </row>
    <row customHeight="true" ht="15" r="304">
      <c r="A304" s="2">
        <v>2024</v>
      </c>
      <c r="B304" s="2">
        <v>9</v>
      </c>
      <c r="C304" s="2" t="s">
        <v>3946</v>
      </c>
      <c r="D304" s="2" t="s">
        <v>3947</v>
      </c>
      <c r="E304" s="2" t="s">
        <v>3948</v>
      </c>
      <c r="F304" s="2" t="s">
        <v>3949</v>
      </c>
      <c r="G304" s="2" t="s">
        <v>3950</v>
      </c>
      <c r="H304" s="2" t="s">
        <v>3951</v>
      </c>
      <c r="I304" s="2" t="s">
        <v>3952</v>
      </c>
      <c r="J304" s="2" t="s">
        <v>3953</v>
      </c>
      <c r="K304" s="3">
        <v>418531.4</v>
      </c>
      <c r="L304" s="3">
        <v>427668.92</v>
      </c>
      <c r="M304" s="3">
        <f>L304-K304</f>
      </c>
      <c r="N304" s="4">
        <f>IF(K304=0,0,M304/K304)</f>
      </c>
      <c r="O304" s="2" t="s">
        <v>3954</v>
      </c>
      <c r="P304" s="2" t="s">
        <v>3955</v>
      </c>
      <c r="Q304" s="2" t="s">
        <v>3956</v>
      </c>
      <c r="R304" s="2" t="s">
        <v>3957</v>
      </c>
      <c r="S304" s="2" t="s">
        <v>3958</v>
      </c>
    </row>
    <row customHeight="true" ht="15" r="305">
      <c r="A305" s="2">
        <v>2024</v>
      </c>
      <c r="B305" s="2">
        <v>9</v>
      </c>
      <c r="C305" s="2" t="s">
        <v>3959</v>
      </c>
      <c r="D305" s="2" t="s">
        <v>3960</v>
      </c>
      <c r="E305" s="2" t="s">
        <v>3961</v>
      </c>
      <c r="F305" s="2" t="s">
        <v>3962</v>
      </c>
      <c r="G305" s="2" t="s">
        <v>3963</v>
      </c>
      <c r="H305" s="2" t="s">
        <v>3964</v>
      </c>
      <c r="I305" s="2" t="s">
        <v>3965</v>
      </c>
      <c r="J305" s="2" t="s">
        <v>3966</v>
      </c>
      <c r="K305" s="3">
        <v>191241.97</v>
      </c>
      <c r="L305" s="3">
        <v>207985.3</v>
      </c>
      <c r="M305" s="3">
        <f>L305-K305</f>
      </c>
      <c r="N305" s="4">
        <f>IF(K305=0,0,M305/K305)</f>
      </c>
      <c r="O305" s="2" t="s">
        <v>3967</v>
      </c>
      <c r="P305" s="2" t="s">
        <v>3968</v>
      </c>
      <c r="Q305" s="2" t="s">
        <v>3969</v>
      </c>
      <c r="R305" s="2" t="s">
        <v>3970</v>
      </c>
      <c r="S305" s="2" t="s">
        <v>3971</v>
      </c>
    </row>
    <row customHeight="true" ht="15" r="306">
      <c r="A306" s="2">
        <v>2024</v>
      </c>
      <c r="B306" s="2">
        <v>9</v>
      </c>
      <c r="C306" s="2" t="s">
        <v>3972</v>
      </c>
      <c r="D306" s="2" t="s">
        <v>3973</v>
      </c>
      <c r="E306" s="2" t="s">
        <v>3974</v>
      </c>
      <c r="F306" s="2" t="s">
        <v>3975</v>
      </c>
      <c r="G306" s="2" t="s">
        <v>3976</v>
      </c>
      <c r="H306" s="2" t="s">
        <v>3977</v>
      </c>
      <c r="I306" s="2" t="s">
        <v>3978</v>
      </c>
      <c r="J306" s="2" t="s">
        <v>3979</v>
      </c>
      <c r="K306" s="3">
        <v>21107.49</v>
      </c>
      <c r="L306" s="3">
        <v>25041.2</v>
      </c>
      <c r="M306" s="3">
        <f>L306-K306</f>
      </c>
      <c r="N306" s="4">
        <f>IF(K306=0,0,M306/K306)</f>
      </c>
      <c r="O306" s="2" t="s">
        <v>3980</v>
      </c>
      <c r="P306" s="2" t="s">
        <v>3981</v>
      </c>
      <c r="Q306" s="2" t="s">
        <v>3982</v>
      </c>
      <c r="R306" s="2" t="s">
        <v>3983</v>
      </c>
      <c r="S306" s="2" t="s">
        <v>3984</v>
      </c>
    </row>
    <row customHeight="true" ht="15" r="307">
      <c r="A307" s="2">
        <v>2024</v>
      </c>
      <c r="B307" s="2">
        <v>9</v>
      </c>
      <c r="C307" s="2" t="s">
        <v>3985</v>
      </c>
      <c r="D307" s="2" t="s">
        <v>3986</v>
      </c>
      <c r="E307" s="2" t="s">
        <v>3987</v>
      </c>
      <c r="F307" s="2" t="s">
        <v>3988</v>
      </c>
      <c r="G307" s="2" t="s">
        <v>3989</v>
      </c>
      <c r="H307" s="2" t="s">
        <v>3990</v>
      </c>
      <c r="I307" s="2" t="s">
        <v>3991</v>
      </c>
      <c r="J307" s="2" t="s">
        <v>3992</v>
      </c>
      <c r="K307" s="3">
        <v>187957.47</v>
      </c>
      <c r="L307" s="3">
        <v>205148.9</v>
      </c>
      <c r="M307" s="3">
        <f>L307-K307</f>
      </c>
      <c r="N307" s="4">
        <f>IF(K307=0,0,M307/K307)</f>
      </c>
      <c r="O307" s="2" t="s">
        <v>3993</v>
      </c>
      <c r="P307" s="2" t="s">
        <v>3994</v>
      </c>
      <c r="Q307" s="2" t="s">
        <v>3995</v>
      </c>
      <c r="R307" s="2" t="s">
        <v>3996</v>
      </c>
      <c r="S307" s="2" t="s">
        <v>3997</v>
      </c>
    </row>
    <row customHeight="true" ht="15" r="308">
      <c r="A308" s="2">
        <v>2024</v>
      </c>
      <c r="B308" s="2">
        <v>9</v>
      </c>
      <c r="C308" s="2" t="s">
        <v>3998</v>
      </c>
      <c r="D308" s="2" t="s">
        <v>3999</v>
      </c>
      <c r="E308" s="2" t="s">
        <v>4000</v>
      </c>
      <c r="F308" s="2" t="s">
        <v>4001</v>
      </c>
      <c r="G308" s="2" t="s">
        <v>4002</v>
      </c>
      <c r="H308" s="2" t="s">
        <v>4003</v>
      </c>
      <c r="I308" s="2" t="s">
        <v>4004</v>
      </c>
      <c r="J308" s="2" t="s">
        <v>4005</v>
      </c>
      <c r="K308" s="3">
        <v>20118.61</v>
      </c>
      <c r="L308" s="3">
        <v>23453.69</v>
      </c>
      <c r="M308" s="3">
        <f>L308-K308</f>
      </c>
      <c r="N308" s="4">
        <f>IF(K308=0,0,M308/K308)</f>
      </c>
      <c r="O308" s="2" t="s">
        <v>4006</v>
      </c>
      <c r="P308" s="2" t="s">
        <v>4007</v>
      </c>
      <c r="Q308" s="2" t="s">
        <v>4008</v>
      </c>
      <c r="R308" s="2" t="s">
        <v>4009</v>
      </c>
      <c r="S308" s="2" t="s">
        <v>4010</v>
      </c>
    </row>
    <row customHeight="true" ht="15" r="309">
      <c r="A309" s="2">
        <v>2024</v>
      </c>
      <c r="B309" s="2">
        <v>9</v>
      </c>
      <c r="C309" s="2" t="s">
        <v>4011</v>
      </c>
      <c r="D309" s="2" t="s">
        <v>4012</v>
      </c>
      <c r="E309" s="2" t="s">
        <v>4013</v>
      </c>
      <c r="F309" s="2" t="s">
        <v>4014</v>
      </c>
      <c r="G309" s="2" t="s">
        <v>4015</v>
      </c>
      <c r="H309" s="2" t="s">
        <v>4016</v>
      </c>
      <c r="I309" s="2" t="s">
        <v>4017</v>
      </c>
      <c r="J309" s="2" t="s">
        <v>4018</v>
      </c>
      <c r="K309" s="3">
        <v>171462.63</v>
      </c>
      <c r="L309" s="3">
        <v>207246</v>
      </c>
      <c r="M309" s="3">
        <f>L309-K309</f>
      </c>
      <c r="N309" s="4">
        <f>IF(K309=0,0,M309/K309)</f>
      </c>
      <c r="O309" s="2" t="s">
        <v>4019</v>
      </c>
      <c r="P309" s="2" t="s">
        <v>4020</v>
      </c>
      <c r="Q309" s="2" t="s">
        <v>4021</v>
      </c>
      <c r="R309" s="2" t="s">
        <v>4022</v>
      </c>
      <c r="S309" s="2" t="s">
        <v>4023</v>
      </c>
    </row>
    <row customHeight="true" ht="15" r="310">
      <c r="A310" s="2">
        <v>2024</v>
      </c>
      <c r="B310" s="2">
        <v>9</v>
      </c>
      <c r="C310" s="2" t="s">
        <v>4024</v>
      </c>
      <c r="D310" s="2" t="s">
        <v>4025</v>
      </c>
      <c r="E310" s="2" t="s">
        <v>4026</v>
      </c>
      <c r="F310" s="2" t="s">
        <v>4027</v>
      </c>
      <c r="G310" s="2" t="s">
        <v>4028</v>
      </c>
      <c r="H310" s="2" t="s">
        <v>4029</v>
      </c>
      <c r="I310" s="2" t="s">
        <v>4030</v>
      </c>
      <c r="J310" s="2" t="s">
        <v>4031</v>
      </c>
      <c r="K310" s="3">
        <v>58861.25</v>
      </c>
      <c r="L310" s="3">
        <v>49901.69</v>
      </c>
      <c r="M310" s="3">
        <f>L310-K310</f>
      </c>
      <c r="N310" s="4">
        <f>IF(K310=0,0,M310/K310)</f>
      </c>
      <c r="O310" s="2" t="s">
        <v>4032</v>
      </c>
      <c r="P310" s="2" t="s">
        <v>4033</v>
      </c>
      <c r="Q310" s="2" t="s">
        <v>4034</v>
      </c>
      <c r="R310" s="2" t="s">
        <v>4035</v>
      </c>
      <c r="S310" s="2" t="s">
        <v>4036</v>
      </c>
    </row>
    <row customHeight="true" ht="15" r="311">
      <c r="A311" s="2">
        <v>2024</v>
      </c>
      <c r="B311" s="2">
        <v>9</v>
      </c>
      <c r="C311" s="2" t="s">
        <v>4037</v>
      </c>
      <c r="D311" s="2" t="s">
        <v>4038</v>
      </c>
      <c r="E311" s="2" t="s">
        <v>4039</v>
      </c>
      <c r="F311" s="2" t="s">
        <v>4040</v>
      </c>
      <c r="G311" s="2" t="s">
        <v>4041</v>
      </c>
      <c r="H311" s="2" t="s">
        <v>4042</v>
      </c>
      <c r="I311" s="2" t="s">
        <v>4043</v>
      </c>
      <c r="J311" s="2" t="s">
        <v>4044</v>
      </c>
      <c r="K311" s="3">
        <v>47853.99</v>
      </c>
      <c r="L311" s="3">
        <v>57817.45</v>
      </c>
      <c r="M311" s="3">
        <f>L311-K311</f>
      </c>
      <c r="N311" s="4">
        <f>IF(K311=0,0,M311/K311)</f>
      </c>
      <c r="O311" s="2" t="s">
        <v>4045</v>
      </c>
      <c r="P311" s="2" t="s">
        <v>4046</v>
      </c>
      <c r="Q311" s="2" t="s">
        <v>4047</v>
      </c>
      <c r="R311" s="2" t="s">
        <v>4048</v>
      </c>
      <c r="S311" s="2" t="s">
        <v>4049</v>
      </c>
    </row>
    <row customHeight="true" ht="15" r="312">
      <c r="A312" s="2">
        <v>2024</v>
      </c>
      <c r="B312" s="2">
        <v>9</v>
      </c>
      <c r="C312" s="2" t="s">
        <v>4050</v>
      </c>
      <c r="D312" s="2" t="s">
        <v>4051</v>
      </c>
      <c r="E312" s="2" t="s">
        <v>4052</v>
      </c>
      <c r="F312" s="2" t="s">
        <v>4053</v>
      </c>
      <c r="G312" s="2" t="s">
        <v>4054</v>
      </c>
      <c r="H312" s="2" t="s">
        <v>4055</v>
      </c>
      <c r="I312" s="2" t="s">
        <v>4056</v>
      </c>
      <c r="J312" s="2" t="s">
        <v>4057</v>
      </c>
      <c r="K312" s="3">
        <v>141443.66</v>
      </c>
      <c r="L312" s="3">
        <v>160914.22</v>
      </c>
      <c r="M312" s="3">
        <f>L312-K312</f>
      </c>
      <c r="N312" s="4">
        <f>IF(K312=0,0,M312/K312)</f>
      </c>
      <c r="O312" s="2" t="s">
        <v>4058</v>
      </c>
      <c r="P312" s="2" t="s">
        <v>4059</v>
      </c>
      <c r="Q312" s="2" t="s">
        <v>4060</v>
      </c>
      <c r="R312" s="2" t="s">
        <v>4061</v>
      </c>
      <c r="S312" s="2" t="s">
        <v>4062</v>
      </c>
    </row>
    <row customHeight="true" ht="15" r="313">
      <c r="A313" s="2">
        <v>2024</v>
      </c>
      <c r="B313" s="2">
        <v>9</v>
      </c>
      <c r="C313" s="2" t="s">
        <v>4063</v>
      </c>
      <c r="D313" s="2" t="s">
        <v>4064</v>
      </c>
      <c r="E313" s="2" t="s">
        <v>4065</v>
      </c>
      <c r="F313" s="2" t="s">
        <v>4066</v>
      </c>
      <c r="G313" s="2" t="s">
        <v>4067</v>
      </c>
      <c r="H313" s="2" t="s">
        <v>4068</v>
      </c>
      <c r="I313" s="2" t="s">
        <v>4069</v>
      </c>
      <c r="J313" s="2" t="s">
        <v>4070</v>
      </c>
      <c r="K313" s="3">
        <v>1223.59</v>
      </c>
      <c r="L313" s="3">
        <v>1169.29</v>
      </c>
      <c r="M313" s="3">
        <f>L313-K313</f>
      </c>
      <c r="N313" s="4">
        <f>IF(K313=0,0,M313/K313)</f>
      </c>
      <c r="O313" s="2" t="s">
        <v>4071</v>
      </c>
      <c r="P313" s="2" t="s">
        <v>4072</v>
      </c>
      <c r="Q313" s="2" t="s">
        <v>4073</v>
      </c>
      <c r="R313" s="2" t="s">
        <v>4074</v>
      </c>
      <c r="S313" s="2" t="s">
        <v>4075</v>
      </c>
    </row>
    <row customHeight="true" ht="15" r="314">
      <c r="A314" s="2">
        <v>2024</v>
      </c>
      <c r="B314" s="2">
        <v>9</v>
      </c>
      <c r="C314" s="2" t="s">
        <v>4076</v>
      </c>
      <c r="D314" s="2" t="s">
        <v>4077</v>
      </c>
      <c r="E314" s="2" t="s">
        <v>4078</v>
      </c>
      <c r="F314" s="2" t="s">
        <v>4079</v>
      </c>
      <c r="G314" s="2" t="s">
        <v>4080</v>
      </c>
      <c r="H314" s="2" t="s">
        <v>4081</v>
      </c>
      <c r="I314" s="2" t="s">
        <v>4082</v>
      </c>
      <c r="J314" s="2" t="s">
        <v>4083</v>
      </c>
      <c r="K314" s="3">
        <v>83208.86</v>
      </c>
      <c r="L314" s="3">
        <v>107392.43</v>
      </c>
      <c r="M314" s="3">
        <f>L314-K314</f>
      </c>
      <c r="N314" s="4">
        <f>IF(K314=0,0,M314/K314)</f>
      </c>
      <c r="O314" s="2" t="s">
        <v>4084</v>
      </c>
      <c r="P314" s="2" t="s">
        <v>4085</v>
      </c>
      <c r="Q314" s="2" t="s">
        <v>4086</v>
      </c>
      <c r="R314" s="2" t="s">
        <v>4087</v>
      </c>
      <c r="S314" s="2" t="s">
        <v>4088</v>
      </c>
    </row>
    <row customHeight="true" ht="15" r="315">
      <c r="A315" s="2">
        <v>2024</v>
      </c>
      <c r="B315" s="2">
        <v>9</v>
      </c>
      <c r="C315" s="2" t="s">
        <v>4089</v>
      </c>
      <c r="D315" s="2" t="s">
        <v>4090</v>
      </c>
      <c r="E315" s="2" t="s">
        <v>4091</v>
      </c>
      <c r="F315" s="2" t="s">
        <v>4092</v>
      </c>
      <c r="G315" s="2" t="s">
        <v>4093</v>
      </c>
      <c r="H315" s="2" t="s">
        <v>4094</v>
      </c>
      <c r="I315" s="2" t="s">
        <v>4095</v>
      </c>
      <c r="J315" s="2" t="s">
        <v>4096</v>
      </c>
      <c r="K315" s="3">
        <v>208478.14</v>
      </c>
      <c r="L315" s="3">
        <v>239225.08</v>
      </c>
      <c r="M315" s="3">
        <f>L315-K315</f>
      </c>
      <c r="N315" s="4">
        <f>IF(K315=0,0,M315/K315)</f>
      </c>
      <c r="O315" s="2" t="s">
        <v>4097</v>
      </c>
      <c r="P315" s="2" t="s">
        <v>4098</v>
      </c>
      <c r="Q315" s="2" t="s">
        <v>4099</v>
      </c>
      <c r="R315" s="2" t="s">
        <v>4100</v>
      </c>
      <c r="S315" s="2" t="s">
        <v>4101</v>
      </c>
    </row>
    <row customHeight="true" ht="15" r="316">
      <c r="A316" s="2">
        <v>2024</v>
      </c>
      <c r="B316" s="2">
        <v>9</v>
      </c>
      <c r="C316" s="2" t="s">
        <v>4102</v>
      </c>
      <c r="D316" s="2" t="s">
        <v>4103</v>
      </c>
      <c r="E316" s="2" t="s">
        <v>4104</v>
      </c>
      <c r="F316" s="2" t="s">
        <v>4105</v>
      </c>
      <c r="G316" s="2" t="s">
        <v>4106</v>
      </c>
      <c r="H316" s="2" t="s">
        <v>4107</v>
      </c>
      <c r="I316" s="2" t="s">
        <v>4108</v>
      </c>
      <c r="J316" s="2" t="s">
        <v>4109</v>
      </c>
      <c r="K316" s="3">
        <v>104708.12</v>
      </c>
      <c r="L316" s="3">
        <v>101121.89</v>
      </c>
      <c r="M316" s="3">
        <f>L316-K316</f>
      </c>
      <c r="N316" s="4">
        <f>IF(K316=0,0,M316/K316)</f>
      </c>
      <c r="O316" s="2" t="s">
        <v>4110</v>
      </c>
      <c r="P316" s="2" t="s">
        <v>4111</v>
      </c>
      <c r="Q316" s="2" t="s">
        <v>4112</v>
      </c>
      <c r="R316" s="2" t="s">
        <v>4113</v>
      </c>
      <c r="S316" s="2" t="s">
        <v>4114</v>
      </c>
    </row>
    <row customHeight="true" ht="15" r="317">
      <c r="A317" s="2">
        <v>2024</v>
      </c>
      <c r="B317" s="2">
        <v>10</v>
      </c>
      <c r="C317" s="2" t="s">
        <v>4115</v>
      </c>
      <c r="D317" s="2" t="s">
        <v>4116</v>
      </c>
      <c r="E317" s="2" t="s">
        <v>4117</v>
      </c>
      <c r="F317" s="2" t="s">
        <v>4118</v>
      </c>
      <c r="G317" s="2" t="s">
        <v>4119</v>
      </c>
      <c r="H317" s="2" t="s">
        <v>4120</v>
      </c>
      <c r="I317" s="2" t="s">
        <v>4121</v>
      </c>
      <c r="J317" s="2" t="s">
        <v>4122</v>
      </c>
      <c r="K317" s="3">
        <v>135114</v>
      </c>
      <c r="L317" s="3">
        <v>170521.39</v>
      </c>
      <c r="M317" s="3">
        <f>L317-K317</f>
      </c>
      <c r="N317" s="4">
        <f>IF(K317=0,0,M317/K317)</f>
      </c>
      <c r="O317" s="2" t="s">
        <v>4123</v>
      </c>
      <c r="P317" s="2" t="s">
        <v>4124</v>
      </c>
      <c r="Q317" s="2" t="s">
        <v>4125</v>
      </c>
      <c r="R317" s="2" t="s">
        <v>4126</v>
      </c>
      <c r="S317" s="2" t="s">
        <v>4127</v>
      </c>
    </row>
    <row customHeight="true" ht="15" r="318">
      <c r="A318" s="2">
        <v>2024</v>
      </c>
      <c r="B318" s="2">
        <v>10</v>
      </c>
      <c r="C318" s="2" t="s">
        <v>4128</v>
      </c>
      <c r="D318" s="2" t="s">
        <v>4129</v>
      </c>
      <c r="E318" s="2" t="s">
        <v>4130</v>
      </c>
      <c r="F318" s="2" t="s">
        <v>4131</v>
      </c>
      <c r="G318" s="2" t="s">
        <v>4132</v>
      </c>
      <c r="H318" s="2" t="s">
        <v>4133</v>
      </c>
      <c r="I318" s="2" t="s">
        <v>4134</v>
      </c>
      <c r="J318" s="2" t="s">
        <v>4135</v>
      </c>
      <c r="K318" s="3">
        <v>89525.28</v>
      </c>
      <c r="L318" s="3">
        <v>110995.97</v>
      </c>
      <c r="M318" s="3">
        <f>L318-K318</f>
      </c>
      <c r="N318" s="4">
        <f>IF(K318=0,0,M318/K318)</f>
      </c>
      <c r="O318" s="2" t="s">
        <v>4136</v>
      </c>
      <c r="P318" s="2" t="s">
        <v>4137</v>
      </c>
      <c r="Q318" s="2" t="s">
        <v>4138</v>
      </c>
      <c r="R318" s="2" t="s">
        <v>4139</v>
      </c>
      <c r="S318" s="2" t="s">
        <v>4140</v>
      </c>
    </row>
    <row customHeight="true" ht="15" r="319">
      <c r="A319" s="2">
        <v>2024</v>
      </c>
      <c r="B319" s="2">
        <v>10</v>
      </c>
      <c r="C319" s="2" t="s">
        <v>4141</v>
      </c>
      <c r="D319" s="2" t="s">
        <v>4142</v>
      </c>
      <c r="E319" s="2" t="s">
        <v>4143</v>
      </c>
      <c r="F319" s="2" t="s">
        <v>4144</v>
      </c>
      <c r="G319" s="2" t="s">
        <v>4145</v>
      </c>
      <c r="H319" s="2" t="s">
        <v>4146</v>
      </c>
      <c r="I319" s="2" t="s">
        <v>4147</v>
      </c>
      <c r="J319" s="2" t="s">
        <v>4148</v>
      </c>
      <c r="K319" s="3">
        <v>116807.73</v>
      </c>
      <c r="L319" s="3">
        <v>138583.42</v>
      </c>
      <c r="M319" s="3">
        <f>L319-K319</f>
      </c>
      <c r="N319" s="4">
        <f>IF(K319=0,0,M319/K319)</f>
      </c>
      <c r="O319" s="2" t="s">
        <v>4149</v>
      </c>
      <c r="P319" s="2" t="s">
        <v>4150</v>
      </c>
      <c r="Q319" s="2" t="s">
        <v>4151</v>
      </c>
      <c r="R319" s="2" t="s">
        <v>4152</v>
      </c>
      <c r="S319" s="2" t="s">
        <v>4153</v>
      </c>
    </row>
    <row customHeight="true" ht="15" r="320">
      <c r="A320" s="2">
        <v>2024</v>
      </c>
      <c r="B320" s="2">
        <v>10</v>
      </c>
      <c r="C320" s="2" t="s">
        <v>4154</v>
      </c>
      <c r="D320" s="2" t="s">
        <v>4155</v>
      </c>
      <c r="E320" s="2" t="s">
        <v>4156</v>
      </c>
      <c r="F320" s="2" t="s">
        <v>4157</v>
      </c>
      <c r="G320" s="2" t="s">
        <v>4158</v>
      </c>
      <c r="H320" s="2" t="s">
        <v>4159</v>
      </c>
      <c r="I320" s="2" t="s">
        <v>4160</v>
      </c>
      <c r="J320" s="2" t="s">
        <v>4161</v>
      </c>
      <c r="K320" s="3">
        <v>57169.69</v>
      </c>
      <c r="L320" s="3">
        <v>64788.5</v>
      </c>
      <c r="M320" s="3">
        <f>L320-K320</f>
      </c>
      <c r="N320" s="4">
        <f>IF(K320=0,0,M320/K320)</f>
      </c>
      <c r="O320" s="2" t="s">
        <v>4162</v>
      </c>
      <c r="P320" s="2" t="s">
        <v>4163</v>
      </c>
      <c r="Q320" s="2" t="s">
        <v>4164</v>
      </c>
      <c r="R320" s="2" t="s">
        <v>4165</v>
      </c>
      <c r="S320" s="2" t="s">
        <v>4166</v>
      </c>
    </row>
    <row customHeight="true" ht="15" r="321">
      <c r="A321" s="2">
        <v>2024</v>
      </c>
      <c r="B321" s="2">
        <v>10</v>
      </c>
      <c r="C321" s="2" t="s">
        <v>4167</v>
      </c>
      <c r="D321" s="2" t="s">
        <v>4168</v>
      </c>
      <c r="E321" s="2" t="s">
        <v>4169</v>
      </c>
      <c r="F321" s="2" t="s">
        <v>4170</v>
      </c>
      <c r="G321" s="2" t="s">
        <v>4171</v>
      </c>
      <c r="H321" s="2" t="s">
        <v>4172</v>
      </c>
      <c r="I321" s="2" t="s">
        <v>4173</v>
      </c>
      <c r="J321" s="2" t="s">
        <v>4174</v>
      </c>
      <c r="K321" s="3">
        <v>61633.32</v>
      </c>
      <c r="L321" s="3">
        <v>63590.19</v>
      </c>
      <c r="M321" s="3">
        <f>L321-K321</f>
      </c>
      <c r="N321" s="4">
        <f>IF(K321=0,0,M321/K321)</f>
      </c>
      <c r="O321" s="2" t="s">
        <v>4175</v>
      </c>
      <c r="P321" s="2" t="s">
        <v>4176</v>
      </c>
      <c r="Q321" s="2" t="s">
        <v>4177</v>
      </c>
      <c r="R321" s="2" t="s">
        <v>4178</v>
      </c>
      <c r="S321" s="2" t="s">
        <v>4179</v>
      </c>
    </row>
    <row customHeight="true" ht="15" r="322">
      <c r="A322" s="2">
        <v>2024</v>
      </c>
      <c r="B322" s="2">
        <v>10</v>
      </c>
      <c r="C322" s="2" t="s">
        <v>4180</v>
      </c>
      <c r="D322" s="2" t="s">
        <v>4181</v>
      </c>
      <c r="E322" s="2" t="s">
        <v>4182</v>
      </c>
      <c r="F322" s="2" t="s">
        <v>4183</v>
      </c>
      <c r="G322" s="2" t="s">
        <v>4184</v>
      </c>
      <c r="H322" s="2" t="s">
        <v>4185</v>
      </c>
      <c r="I322" s="2" t="s">
        <v>4186</v>
      </c>
      <c r="J322" s="2" t="s">
        <v>4187</v>
      </c>
      <c r="K322" s="3">
        <v>61172.93</v>
      </c>
      <c r="L322" s="3">
        <v>63432.7</v>
      </c>
      <c r="M322" s="3">
        <f>L322-K322</f>
      </c>
      <c r="N322" s="4">
        <f>IF(K322=0,0,M322/K322)</f>
      </c>
      <c r="O322" s="2" t="s">
        <v>4188</v>
      </c>
      <c r="P322" s="2" t="s">
        <v>4189</v>
      </c>
      <c r="Q322" s="2" t="s">
        <v>4190</v>
      </c>
      <c r="R322" s="2" t="s">
        <v>4191</v>
      </c>
      <c r="S322" s="2" t="s">
        <v>4192</v>
      </c>
    </row>
    <row customHeight="true" ht="15" r="323">
      <c r="A323" s="2">
        <v>2024</v>
      </c>
      <c r="B323" s="2">
        <v>10</v>
      </c>
      <c r="C323" s="2" t="s">
        <v>4193</v>
      </c>
      <c r="D323" s="2" t="s">
        <v>4194</v>
      </c>
      <c r="E323" s="2" t="s">
        <v>4195</v>
      </c>
      <c r="F323" s="2" t="s">
        <v>4196</v>
      </c>
      <c r="G323" s="2" t="s">
        <v>4197</v>
      </c>
      <c r="H323" s="2" t="s">
        <v>4198</v>
      </c>
      <c r="I323" s="2" t="s">
        <v>4199</v>
      </c>
      <c r="J323" s="2" t="s">
        <v>4200</v>
      </c>
      <c r="K323" s="3">
        <v>175830.06</v>
      </c>
      <c r="L323" s="3">
        <v>196866.86</v>
      </c>
      <c r="M323" s="3">
        <f>L323-K323</f>
      </c>
      <c r="N323" s="4">
        <f>IF(K323=0,0,M323/K323)</f>
      </c>
      <c r="O323" s="2" t="s">
        <v>4201</v>
      </c>
      <c r="P323" s="2" t="s">
        <v>4202</v>
      </c>
      <c r="Q323" s="2" t="s">
        <v>4203</v>
      </c>
      <c r="R323" s="2" t="s">
        <v>4204</v>
      </c>
      <c r="S323" s="2" t="s">
        <v>4205</v>
      </c>
    </row>
    <row customHeight="true" ht="15" r="324">
      <c r="A324" s="2">
        <v>2024</v>
      </c>
      <c r="B324" s="2">
        <v>10</v>
      </c>
      <c r="C324" s="2" t="s">
        <v>4206</v>
      </c>
      <c r="D324" s="2" t="s">
        <v>4207</v>
      </c>
      <c r="E324" s="2" t="s">
        <v>4208</v>
      </c>
      <c r="F324" s="2" t="s">
        <v>4209</v>
      </c>
      <c r="G324" s="2" t="s">
        <v>4210</v>
      </c>
      <c r="H324" s="2" t="s">
        <v>4211</v>
      </c>
      <c r="I324" s="2" t="s">
        <v>4212</v>
      </c>
      <c r="J324" s="2" t="s">
        <v>4213</v>
      </c>
      <c r="K324" s="3">
        <v>168178.23</v>
      </c>
      <c r="L324" s="3">
        <v>153969.43</v>
      </c>
      <c r="M324" s="3">
        <f>L324-K324</f>
      </c>
      <c r="N324" s="4">
        <f>IF(K324=0,0,M324/K324)</f>
      </c>
      <c r="O324" s="2" t="s">
        <v>4214</v>
      </c>
      <c r="P324" s="2" t="s">
        <v>4215</v>
      </c>
      <c r="Q324" s="2" t="s">
        <v>4216</v>
      </c>
      <c r="R324" s="2" t="s">
        <v>4217</v>
      </c>
      <c r="S324" s="2" t="s">
        <v>4218</v>
      </c>
    </row>
    <row customHeight="true" ht="15" r="325">
      <c r="A325" s="2">
        <v>2024</v>
      </c>
      <c r="B325" s="2">
        <v>10</v>
      </c>
      <c r="C325" s="2" t="s">
        <v>4219</v>
      </c>
      <c r="D325" s="2" t="s">
        <v>4220</v>
      </c>
      <c r="E325" s="2" t="s">
        <v>4221</v>
      </c>
      <c r="F325" s="2" t="s">
        <v>4222</v>
      </c>
      <c r="G325" s="2" t="s">
        <v>4223</v>
      </c>
      <c r="H325" s="2" t="s">
        <v>4224</v>
      </c>
      <c r="I325" s="2" t="s">
        <v>4225</v>
      </c>
      <c r="J325" s="2" t="s">
        <v>4226</v>
      </c>
      <c r="K325" s="3">
        <v>22170.29</v>
      </c>
      <c r="L325" s="3">
        <v>25340.72</v>
      </c>
      <c r="M325" s="3">
        <f>L325-K325</f>
      </c>
      <c r="N325" s="4">
        <f>IF(K325=0,0,M325/K325)</f>
      </c>
      <c r="O325" s="2" t="s">
        <v>4227</v>
      </c>
      <c r="P325" s="2" t="s">
        <v>4228</v>
      </c>
      <c r="Q325" s="2" t="s">
        <v>4229</v>
      </c>
      <c r="R325" s="2" t="s">
        <v>4230</v>
      </c>
      <c r="S325" s="2" t="s">
        <v>4231</v>
      </c>
    </row>
    <row customHeight="true" ht="15" r="326">
      <c r="A326" s="2">
        <v>2024</v>
      </c>
      <c r="B326" s="2">
        <v>10</v>
      </c>
      <c r="C326" s="2" t="s">
        <v>4232</v>
      </c>
      <c r="D326" s="2" t="s">
        <v>4233</v>
      </c>
      <c r="E326" s="2" t="s">
        <v>4234</v>
      </c>
      <c r="F326" s="2" t="s">
        <v>4235</v>
      </c>
      <c r="G326" s="2" t="s">
        <v>4236</v>
      </c>
      <c r="H326" s="2" t="s">
        <v>4237</v>
      </c>
      <c r="I326" s="2" t="s">
        <v>4238</v>
      </c>
      <c r="J326" s="2" t="s">
        <v>4239</v>
      </c>
      <c r="K326" s="3">
        <v>24221.71</v>
      </c>
      <c r="L326" s="3">
        <v>29398.92</v>
      </c>
      <c r="M326" s="3">
        <f>L326-K326</f>
      </c>
      <c r="N326" s="4">
        <f>IF(K326=0,0,M326/K326)</f>
      </c>
      <c r="O326" s="2" t="s">
        <v>4240</v>
      </c>
      <c r="P326" s="2" t="s">
        <v>4241</v>
      </c>
      <c r="Q326" s="2" t="s">
        <v>4242</v>
      </c>
      <c r="R326" s="2" t="s">
        <v>4243</v>
      </c>
      <c r="S326" s="2" t="s">
        <v>4244</v>
      </c>
    </row>
    <row customHeight="true" ht="15" r="327">
      <c r="A327" s="2">
        <v>2024</v>
      </c>
      <c r="B327" s="2">
        <v>10</v>
      </c>
      <c r="C327" s="2" t="s">
        <v>4245</v>
      </c>
      <c r="D327" s="2" t="s">
        <v>4246</v>
      </c>
      <c r="E327" s="2" t="s">
        <v>4247</v>
      </c>
      <c r="F327" s="2" t="s">
        <v>4248</v>
      </c>
      <c r="G327" s="2" t="s">
        <v>4249</v>
      </c>
      <c r="H327" s="2" t="s">
        <v>4250</v>
      </c>
      <c r="I327" s="2" t="s">
        <v>4251</v>
      </c>
      <c r="J327" s="2" t="s">
        <v>4252</v>
      </c>
      <c r="K327" s="3">
        <v>391998.55</v>
      </c>
      <c r="L327" s="3">
        <v>423497.83</v>
      </c>
      <c r="M327" s="3">
        <f>L327-K327</f>
      </c>
      <c r="N327" s="4">
        <f>IF(K327=0,0,M327/K327)</f>
      </c>
      <c r="O327" s="2" t="s">
        <v>4253</v>
      </c>
      <c r="P327" s="2" t="s">
        <v>4254</v>
      </c>
      <c r="Q327" s="2" t="s">
        <v>4255</v>
      </c>
      <c r="R327" s="2" t="s">
        <v>4256</v>
      </c>
      <c r="S327" s="2" t="s">
        <v>4257</v>
      </c>
    </row>
    <row customHeight="true" ht="15" r="328">
      <c r="A328" s="2">
        <v>2024</v>
      </c>
      <c r="B328" s="2">
        <v>10</v>
      </c>
      <c r="C328" s="2" t="s">
        <v>4258</v>
      </c>
      <c r="D328" s="2" t="s">
        <v>4259</v>
      </c>
      <c r="E328" s="2" t="s">
        <v>4260</v>
      </c>
      <c r="F328" s="2" t="s">
        <v>4261</v>
      </c>
      <c r="G328" s="2" t="s">
        <v>4262</v>
      </c>
      <c r="H328" s="2" t="s">
        <v>4263</v>
      </c>
      <c r="I328" s="2" t="s">
        <v>4264</v>
      </c>
      <c r="J328" s="2" t="s">
        <v>4265</v>
      </c>
      <c r="K328" s="3">
        <v>386487.2</v>
      </c>
      <c r="L328" s="3">
        <v>321970.34</v>
      </c>
      <c r="M328" s="3">
        <f>L328-K328</f>
      </c>
      <c r="N328" s="4">
        <f>IF(K328=0,0,M328/K328)</f>
      </c>
      <c r="O328" s="2" t="s">
        <v>4266</v>
      </c>
      <c r="P328" s="2" t="s">
        <v>4267</v>
      </c>
      <c r="Q328" s="2" t="s">
        <v>4268</v>
      </c>
      <c r="R328" s="2" t="s">
        <v>4269</v>
      </c>
      <c r="S328" s="2" t="s">
        <v>4270</v>
      </c>
    </row>
    <row customHeight="true" ht="15" r="329">
      <c r="A329" s="2">
        <v>2024</v>
      </c>
      <c r="B329" s="2">
        <v>10</v>
      </c>
      <c r="C329" s="2" t="s">
        <v>4271</v>
      </c>
      <c r="D329" s="2" t="s">
        <v>4272</v>
      </c>
      <c r="E329" s="2" t="s">
        <v>4273</v>
      </c>
      <c r="F329" s="2" t="s">
        <v>4274</v>
      </c>
      <c r="G329" s="2" t="s">
        <v>4275</v>
      </c>
      <c r="H329" s="2" t="s">
        <v>4276</v>
      </c>
      <c r="I329" s="2" t="s">
        <v>4277</v>
      </c>
      <c r="J329" s="2" t="s">
        <v>4278</v>
      </c>
      <c r="K329" s="3">
        <v>70486.55</v>
      </c>
      <c r="L329" s="3">
        <v>70701.81</v>
      </c>
      <c r="M329" s="3">
        <f>L329-K329</f>
      </c>
      <c r="N329" s="4">
        <f>IF(K329=0,0,M329/K329)</f>
      </c>
      <c r="O329" s="2" t="s">
        <v>4279</v>
      </c>
      <c r="P329" s="2" t="s">
        <v>4280</v>
      </c>
      <c r="Q329" s="2" t="s">
        <v>4281</v>
      </c>
      <c r="R329" s="2" t="s">
        <v>4282</v>
      </c>
      <c r="S329" s="2" t="s">
        <v>4283</v>
      </c>
    </row>
    <row customHeight="true" ht="15" r="330">
      <c r="A330" s="2">
        <v>2024</v>
      </c>
      <c r="B330" s="2">
        <v>10</v>
      </c>
      <c r="C330" s="2" t="s">
        <v>4284</v>
      </c>
      <c r="D330" s="2" t="s">
        <v>4285</v>
      </c>
      <c r="E330" s="2" t="s">
        <v>4286</v>
      </c>
      <c r="F330" s="2" t="s">
        <v>4287</v>
      </c>
      <c r="G330" s="2" t="s">
        <v>4288</v>
      </c>
      <c r="H330" s="2" t="s">
        <v>4289</v>
      </c>
      <c r="I330" s="2" t="s">
        <v>4290</v>
      </c>
      <c r="J330" s="2" t="s">
        <v>4291</v>
      </c>
      <c r="K330" s="3">
        <v>49388.46</v>
      </c>
      <c r="L330" s="3">
        <v>43171.36</v>
      </c>
      <c r="M330" s="3">
        <f>L330-K330</f>
      </c>
      <c r="N330" s="4">
        <f>IF(K330=0,0,M330/K330)</f>
      </c>
      <c r="O330" s="2" t="s">
        <v>4292</v>
      </c>
      <c r="P330" s="2" t="s">
        <v>4293</v>
      </c>
      <c r="Q330" s="2" t="s">
        <v>4294</v>
      </c>
      <c r="R330" s="2" t="s">
        <v>4295</v>
      </c>
      <c r="S330" s="2" t="s">
        <v>4296</v>
      </c>
    </row>
    <row customHeight="true" ht="15" r="331">
      <c r="A331" s="2">
        <v>2024</v>
      </c>
      <c r="B331" s="2">
        <v>10</v>
      </c>
      <c r="C331" s="2" t="s">
        <v>4297</v>
      </c>
      <c r="D331" s="2" t="s">
        <v>4298</v>
      </c>
      <c r="E331" s="2" t="s">
        <v>4299</v>
      </c>
      <c r="F331" s="2" t="s">
        <v>4300</v>
      </c>
      <c r="G331" s="2" t="s">
        <v>4301</v>
      </c>
      <c r="H331" s="2" t="s">
        <v>4302</v>
      </c>
      <c r="I331" s="2" t="s">
        <v>4303</v>
      </c>
      <c r="J331" s="2" t="s">
        <v>4304</v>
      </c>
      <c r="K331" s="3">
        <v>42165.13</v>
      </c>
      <c r="L331" s="3">
        <v>48592.1</v>
      </c>
      <c r="M331" s="3">
        <f>L331-K331</f>
      </c>
      <c r="N331" s="4">
        <f>IF(K331=0,0,M331/K331)</f>
      </c>
      <c r="O331" s="2" t="s">
        <v>4305</v>
      </c>
      <c r="P331" s="2" t="s">
        <v>4306</v>
      </c>
      <c r="Q331" s="2" t="s">
        <v>4307</v>
      </c>
      <c r="R331" s="2" t="s">
        <v>4308</v>
      </c>
      <c r="S331" s="2" t="s">
        <v>4309</v>
      </c>
    </row>
    <row customHeight="true" ht="15" r="332">
      <c r="A332" s="2">
        <v>2024</v>
      </c>
      <c r="B332" s="2">
        <v>11</v>
      </c>
      <c r="C332" s="2" t="s">
        <v>4310</v>
      </c>
      <c r="D332" s="2" t="s">
        <v>4311</v>
      </c>
      <c r="E332" s="2" t="s">
        <v>4312</v>
      </c>
      <c r="F332" s="2" t="s">
        <v>4313</v>
      </c>
      <c r="G332" s="2" t="s">
        <v>4314</v>
      </c>
      <c r="H332" s="2" t="s">
        <v>4315</v>
      </c>
      <c r="I332" s="2" t="s">
        <v>4316</v>
      </c>
      <c r="J332" s="2" t="s">
        <v>4317</v>
      </c>
      <c r="K332" s="3">
        <v>179574.75</v>
      </c>
      <c r="L332" s="3">
        <v>210204.35</v>
      </c>
      <c r="M332" s="3">
        <f>L332-K332</f>
      </c>
      <c r="N332" s="4">
        <f>IF(K332=0,0,M332/K332)</f>
      </c>
      <c r="O332" s="2" t="s">
        <v>4318</v>
      </c>
      <c r="P332" s="2" t="s">
        <v>4319</v>
      </c>
      <c r="Q332" s="2" t="s">
        <v>4320</v>
      </c>
      <c r="R332" s="2" t="s">
        <v>4321</v>
      </c>
      <c r="S332" s="2" t="s">
        <v>4322</v>
      </c>
    </row>
    <row customHeight="true" ht="15" r="333">
      <c r="A333" s="2">
        <v>2024</v>
      </c>
      <c r="B333" s="2">
        <v>11</v>
      </c>
      <c r="C333" s="2" t="s">
        <v>4323</v>
      </c>
      <c r="D333" s="2" t="s">
        <v>4324</v>
      </c>
      <c r="E333" s="2" t="s">
        <v>4325</v>
      </c>
      <c r="F333" s="2" t="s">
        <v>4326</v>
      </c>
      <c r="G333" s="2" t="s">
        <v>4327</v>
      </c>
      <c r="H333" s="2" t="s">
        <v>4328</v>
      </c>
      <c r="I333" s="2" t="s">
        <v>4329</v>
      </c>
      <c r="J333" s="2" t="s">
        <v>4330</v>
      </c>
      <c r="K333" s="3">
        <v>469193.44</v>
      </c>
      <c r="L333" s="3">
        <v>513610.28</v>
      </c>
      <c r="M333" s="3">
        <f>L333-K333</f>
      </c>
      <c r="N333" s="4">
        <f>IF(K333=0,0,M333/K333)</f>
      </c>
      <c r="O333" s="2" t="s">
        <v>4331</v>
      </c>
      <c r="P333" s="2" t="s">
        <v>4332</v>
      </c>
      <c r="Q333" s="2" t="s">
        <v>4333</v>
      </c>
      <c r="R333" s="2" t="s">
        <v>4334</v>
      </c>
      <c r="S333" s="2" t="s">
        <v>4335</v>
      </c>
    </row>
    <row customHeight="true" ht="15" r="334">
      <c r="A334" s="2">
        <v>2024</v>
      </c>
      <c r="B334" s="2">
        <v>11</v>
      </c>
      <c r="C334" s="2" t="s">
        <v>4336</v>
      </c>
      <c r="D334" s="2" t="s">
        <v>4337</v>
      </c>
      <c r="E334" s="2" t="s">
        <v>4338</v>
      </c>
      <c r="F334" s="2" t="s">
        <v>4339</v>
      </c>
      <c r="G334" s="2" t="s">
        <v>4340</v>
      </c>
      <c r="H334" s="2" t="s">
        <v>4341</v>
      </c>
      <c r="I334" s="2" t="s">
        <v>4342</v>
      </c>
      <c r="J334" s="2" t="s">
        <v>4343</v>
      </c>
      <c r="K334" s="3">
        <v>13352.57</v>
      </c>
      <c r="L334" s="3">
        <v>15404.64</v>
      </c>
      <c r="M334" s="3">
        <f>L334-K334</f>
      </c>
      <c r="N334" s="4">
        <f>IF(K334=0,0,M334/K334)</f>
      </c>
      <c r="O334" s="2" t="s">
        <v>4344</v>
      </c>
      <c r="P334" s="2" t="s">
        <v>4345</v>
      </c>
      <c r="Q334" s="2" t="s">
        <v>4346</v>
      </c>
      <c r="R334" s="2" t="s">
        <v>4347</v>
      </c>
      <c r="S334" s="2" t="s">
        <v>4348</v>
      </c>
    </row>
    <row customHeight="true" ht="15" r="335">
      <c r="A335" s="2">
        <v>2024</v>
      </c>
      <c r="B335" s="2">
        <v>11</v>
      </c>
      <c r="C335" s="2" t="s">
        <v>4349</v>
      </c>
      <c r="D335" s="2" t="s">
        <v>4350</v>
      </c>
      <c r="E335" s="2" t="s">
        <v>4351</v>
      </c>
      <c r="F335" s="2" t="s">
        <v>4352</v>
      </c>
      <c r="G335" s="2" t="s">
        <v>4353</v>
      </c>
      <c r="H335" s="2" t="s">
        <v>4354</v>
      </c>
      <c r="I335" s="2" t="s">
        <v>4355</v>
      </c>
      <c r="J335" s="2" t="s">
        <v>4356</v>
      </c>
      <c r="K335" s="3">
        <v>495353.26</v>
      </c>
      <c r="L335" s="3">
        <v>453619.67</v>
      </c>
      <c r="M335" s="3">
        <f>L335-K335</f>
      </c>
      <c r="N335" s="4">
        <f>IF(K335=0,0,M335/K335)</f>
      </c>
      <c r="O335" s="2" t="s">
        <v>4357</v>
      </c>
      <c r="P335" s="2" t="s">
        <v>4358</v>
      </c>
      <c r="Q335" s="2" t="s">
        <v>4359</v>
      </c>
      <c r="R335" s="2" t="s">
        <v>4360</v>
      </c>
      <c r="S335" s="2" t="s">
        <v>4361</v>
      </c>
    </row>
    <row customHeight="true" ht="15" r="336">
      <c r="A336" s="2">
        <v>2024</v>
      </c>
      <c r="B336" s="2">
        <v>11</v>
      </c>
      <c r="C336" s="2" t="s">
        <v>4362</v>
      </c>
      <c r="D336" s="2" t="s">
        <v>4363</v>
      </c>
      <c r="E336" s="2" t="s">
        <v>4364</v>
      </c>
      <c r="F336" s="2" t="s">
        <v>4365</v>
      </c>
      <c r="G336" s="2" t="s">
        <v>4366</v>
      </c>
      <c r="H336" s="2" t="s">
        <v>4367</v>
      </c>
      <c r="I336" s="2" t="s">
        <v>4368</v>
      </c>
      <c r="J336" s="2" t="s">
        <v>4369</v>
      </c>
      <c r="K336" s="3">
        <v>2597.34</v>
      </c>
      <c r="L336" s="3">
        <v>2474.4</v>
      </c>
      <c r="M336" s="3">
        <f>L336-K336</f>
      </c>
      <c r="N336" s="4">
        <f>IF(K336=0,0,M336/K336)</f>
      </c>
      <c r="O336" s="2" t="s">
        <v>4370</v>
      </c>
      <c r="P336" s="2" t="s">
        <v>4371</v>
      </c>
      <c r="Q336" s="2" t="s">
        <v>4372</v>
      </c>
      <c r="R336" s="2" t="s">
        <v>4373</v>
      </c>
      <c r="S336" s="2" t="s">
        <v>4374</v>
      </c>
    </row>
    <row customHeight="true" ht="15" r="337">
      <c r="A337" s="2">
        <v>2024</v>
      </c>
      <c r="B337" s="2">
        <v>11</v>
      </c>
      <c r="C337" s="2" t="s">
        <v>4375</v>
      </c>
      <c r="D337" s="2" t="s">
        <v>4376</v>
      </c>
      <c r="E337" s="2" t="s">
        <v>4377</v>
      </c>
      <c r="F337" s="2" t="s">
        <v>4378</v>
      </c>
      <c r="G337" s="2" t="s">
        <v>4379</v>
      </c>
      <c r="H337" s="2" t="s">
        <v>4380</v>
      </c>
      <c r="I337" s="2" t="s">
        <v>4381</v>
      </c>
      <c r="J337" s="2" t="s">
        <v>4382</v>
      </c>
      <c r="K337" s="3">
        <v>41066.58</v>
      </c>
      <c r="L337" s="3">
        <v>45796.74</v>
      </c>
      <c r="M337" s="3">
        <f>L337-K337</f>
      </c>
      <c r="N337" s="4">
        <f>IF(K337=0,0,M337/K337)</f>
      </c>
      <c r="O337" s="2" t="s">
        <v>4383</v>
      </c>
      <c r="P337" s="2" t="s">
        <v>4384</v>
      </c>
      <c r="Q337" s="2" t="s">
        <v>4385</v>
      </c>
      <c r="R337" s="2" t="s">
        <v>4386</v>
      </c>
      <c r="S337" s="2" t="s">
        <v>4387</v>
      </c>
    </row>
    <row customHeight="true" ht="15" r="338">
      <c r="A338" s="2">
        <v>2024</v>
      </c>
      <c r="B338" s="2">
        <v>11</v>
      </c>
      <c r="C338" s="2" t="s">
        <v>4388</v>
      </c>
      <c r="D338" s="2" t="s">
        <v>4389</v>
      </c>
      <c r="E338" s="2" t="s">
        <v>4390</v>
      </c>
      <c r="F338" s="2" t="s">
        <v>4391</v>
      </c>
      <c r="G338" s="2" t="s">
        <v>4392</v>
      </c>
      <c r="H338" s="2" t="s">
        <v>4393</v>
      </c>
      <c r="I338" s="2" t="s">
        <v>4394</v>
      </c>
      <c r="J338" s="2" t="s">
        <v>4395</v>
      </c>
      <c r="K338" s="3">
        <v>250943.13</v>
      </c>
      <c r="L338" s="3">
        <v>295930.43</v>
      </c>
      <c r="M338" s="3">
        <f>L338-K338</f>
      </c>
      <c r="N338" s="4">
        <f>IF(K338=0,0,M338/K338)</f>
      </c>
      <c r="O338" s="2" t="s">
        <v>4396</v>
      </c>
      <c r="P338" s="2" t="s">
        <v>4397</v>
      </c>
      <c r="Q338" s="2" t="s">
        <v>4398</v>
      </c>
      <c r="R338" s="2" t="s">
        <v>4399</v>
      </c>
      <c r="S338" s="2" t="s">
        <v>4400</v>
      </c>
    </row>
    <row customHeight="true" ht="15" r="339">
      <c r="A339" s="2">
        <v>2024</v>
      </c>
      <c r="B339" s="2">
        <v>11</v>
      </c>
      <c r="C339" s="2" t="s">
        <v>4401</v>
      </c>
      <c r="D339" s="2" t="s">
        <v>4402</v>
      </c>
      <c r="E339" s="2" t="s">
        <v>4403</v>
      </c>
      <c r="F339" s="2" t="s">
        <v>4404</v>
      </c>
      <c r="G339" s="2" t="s">
        <v>4405</v>
      </c>
      <c r="H339" s="2" t="s">
        <v>4406</v>
      </c>
      <c r="I339" s="2" t="s">
        <v>4407</v>
      </c>
      <c r="J339" s="2" t="s">
        <v>4408</v>
      </c>
      <c r="K339" s="3">
        <v>402211.18</v>
      </c>
      <c r="L339" s="3">
        <v>353443.89</v>
      </c>
      <c r="M339" s="3">
        <f>L339-K339</f>
      </c>
      <c r="N339" s="4">
        <f>IF(K339=0,0,M339/K339)</f>
      </c>
      <c r="O339" s="2" t="s">
        <v>4409</v>
      </c>
      <c r="P339" s="2" t="s">
        <v>4410</v>
      </c>
      <c r="Q339" s="2" t="s">
        <v>4411</v>
      </c>
      <c r="R339" s="2" t="s">
        <v>4412</v>
      </c>
      <c r="S339" s="2" t="s">
        <v>4413</v>
      </c>
    </row>
    <row customHeight="true" ht="15" r="340">
      <c r="A340" s="2">
        <v>2024</v>
      </c>
      <c r="B340" s="2">
        <v>11</v>
      </c>
      <c r="C340" s="2" t="s">
        <v>4414</v>
      </c>
      <c r="D340" s="2" t="s">
        <v>4415</v>
      </c>
      <c r="E340" s="2" t="s">
        <v>4416</v>
      </c>
      <c r="F340" s="2" t="s">
        <v>4417</v>
      </c>
      <c r="G340" s="2" t="s">
        <v>4418</v>
      </c>
      <c r="H340" s="2" t="s">
        <v>4419</v>
      </c>
      <c r="I340" s="2" t="s">
        <v>4420</v>
      </c>
      <c r="J340" s="2" t="s">
        <v>4421</v>
      </c>
      <c r="K340" s="3">
        <v>454104.45</v>
      </c>
      <c r="L340" s="3">
        <v>503310.3</v>
      </c>
      <c r="M340" s="3">
        <f>L340-K340</f>
      </c>
      <c r="N340" s="4">
        <f>IF(K340=0,0,M340/K340)</f>
      </c>
      <c r="O340" s="2" t="s">
        <v>4422</v>
      </c>
      <c r="P340" s="2" t="s">
        <v>4423</v>
      </c>
      <c r="Q340" s="2" t="s">
        <v>4424</v>
      </c>
      <c r="R340" s="2" t="s">
        <v>4425</v>
      </c>
      <c r="S340" s="2" t="s">
        <v>4426</v>
      </c>
    </row>
    <row customHeight="true" ht="15" r="341">
      <c r="A341" s="2">
        <v>2024</v>
      </c>
      <c r="B341" s="2">
        <v>11</v>
      </c>
      <c r="C341" s="2" t="s">
        <v>4427</v>
      </c>
      <c r="D341" s="2" t="s">
        <v>4428</v>
      </c>
      <c r="E341" s="2" t="s">
        <v>4429</v>
      </c>
      <c r="F341" s="2" t="s">
        <v>4430</v>
      </c>
      <c r="G341" s="2" t="s">
        <v>4431</v>
      </c>
      <c r="H341" s="2" t="s">
        <v>4432</v>
      </c>
      <c r="I341" s="2" t="s">
        <v>4433</v>
      </c>
      <c r="J341" s="2" t="s">
        <v>4434</v>
      </c>
      <c r="K341" s="3">
        <v>89696.99</v>
      </c>
      <c r="L341" s="3">
        <v>87386.15</v>
      </c>
      <c r="M341" s="3">
        <f>L341-K341</f>
      </c>
      <c r="N341" s="4">
        <f>IF(K341=0,0,M341/K341)</f>
      </c>
      <c r="O341" s="2" t="s">
        <v>4435</v>
      </c>
      <c r="P341" s="2" t="s">
        <v>4436</v>
      </c>
      <c r="Q341" s="2" t="s">
        <v>4437</v>
      </c>
      <c r="R341" s="2" t="s">
        <v>4438</v>
      </c>
      <c r="S341" s="2" t="s">
        <v>4439</v>
      </c>
    </row>
    <row customHeight="true" ht="15" r="342">
      <c r="A342" s="2">
        <v>2024</v>
      </c>
      <c r="B342" s="2">
        <v>11</v>
      </c>
      <c r="C342" s="2" t="s">
        <v>4440</v>
      </c>
      <c r="D342" s="2" t="s">
        <v>4441</v>
      </c>
      <c r="E342" s="2" t="s">
        <v>4442</v>
      </c>
      <c r="F342" s="2" t="s">
        <v>4443</v>
      </c>
      <c r="G342" s="2" t="s">
        <v>4444</v>
      </c>
      <c r="H342" s="2" t="s">
        <v>4445</v>
      </c>
      <c r="I342" s="2" t="s">
        <v>4446</v>
      </c>
      <c r="J342" s="2" t="s">
        <v>4447</v>
      </c>
      <c r="K342" s="3">
        <v>113460.52</v>
      </c>
      <c r="L342" s="3">
        <v>97532.07</v>
      </c>
      <c r="M342" s="3">
        <f>L342-K342</f>
      </c>
      <c r="N342" s="4">
        <f>IF(K342=0,0,M342/K342)</f>
      </c>
      <c r="O342" s="2" t="s">
        <v>4448</v>
      </c>
      <c r="P342" s="2" t="s">
        <v>4449</v>
      </c>
      <c r="Q342" s="2" t="s">
        <v>4450</v>
      </c>
      <c r="R342" s="2" t="s">
        <v>4451</v>
      </c>
      <c r="S342" s="2" t="s">
        <v>4452</v>
      </c>
    </row>
    <row customHeight="true" ht="15" r="343">
      <c r="A343" s="2">
        <v>2024</v>
      </c>
      <c r="B343" s="2">
        <v>11</v>
      </c>
      <c r="C343" s="2" t="s">
        <v>4453</v>
      </c>
      <c r="D343" s="2" t="s">
        <v>4454</v>
      </c>
      <c r="E343" s="2" t="s">
        <v>4455</v>
      </c>
      <c r="F343" s="2" t="s">
        <v>4456</v>
      </c>
      <c r="G343" s="2" t="s">
        <v>4457</v>
      </c>
      <c r="H343" s="2" t="s">
        <v>4458</v>
      </c>
      <c r="I343" s="2" t="s">
        <v>4459</v>
      </c>
      <c r="J343" s="2" t="s">
        <v>4460</v>
      </c>
      <c r="K343" s="3">
        <v>425666.37</v>
      </c>
      <c r="L343" s="3">
        <v>390898.77</v>
      </c>
      <c r="M343" s="3">
        <f>L343-K343</f>
      </c>
      <c r="N343" s="4">
        <f>IF(K343=0,0,M343/K343)</f>
      </c>
      <c r="O343" s="2" t="s">
        <v>4461</v>
      </c>
      <c r="P343" s="2" t="s">
        <v>4462</v>
      </c>
      <c r="Q343" s="2" t="s">
        <v>4463</v>
      </c>
      <c r="R343" s="2" t="s">
        <v>4464</v>
      </c>
      <c r="S343" s="2" t="s">
        <v>4465</v>
      </c>
    </row>
    <row customHeight="true" ht="15" r="344">
      <c r="A344" s="2">
        <v>2024</v>
      </c>
      <c r="B344" s="2">
        <v>11</v>
      </c>
      <c r="C344" s="2" t="s">
        <v>4466</v>
      </c>
      <c r="D344" s="2" t="s">
        <v>4467</v>
      </c>
      <c r="E344" s="2" t="s">
        <v>4468</v>
      </c>
      <c r="F344" s="2" t="s">
        <v>4469</v>
      </c>
      <c r="G344" s="2" t="s">
        <v>4470</v>
      </c>
      <c r="H344" s="2" t="s">
        <v>4471</v>
      </c>
      <c r="I344" s="2" t="s">
        <v>4472</v>
      </c>
      <c r="J344" s="2" t="s">
        <v>4473</v>
      </c>
      <c r="K344" s="3">
        <v>121967.53</v>
      </c>
      <c r="L344" s="3">
        <v>113396.49</v>
      </c>
      <c r="M344" s="3">
        <f>L344-K344</f>
      </c>
      <c r="N344" s="4">
        <f>IF(K344=0,0,M344/K344)</f>
      </c>
      <c r="O344" s="2" t="s">
        <v>4474</v>
      </c>
      <c r="P344" s="2" t="s">
        <v>4475</v>
      </c>
      <c r="Q344" s="2" t="s">
        <v>4476</v>
      </c>
      <c r="R344" s="2" t="s">
        <v>4477</v>
      </c>
      <c r="S344" s="2" t="s">
        <v>4478</v>
      </c>
    </row>
    <row customHeight="true" ht="15" r="345">
      <c r="A345" s="2">
        <v>2024</v>
      </c>
      <c r="B345" s="2">
        <v>11</v>
      </c>
      <c r="C345" s="2" t="s">
        <v>4479</v>
      </c>
      <c r="D345" s="2" t="s">
        <v>4480</v>
      </c>
      <c r="E345" s="2" t="s">
        <v>4481</v>
      </c>
      <c r="F345" s="2" t="s">
        <v>4482</v>
      </c>
      <c r="G345" s="2" t="s">
        <v>4483</v>
      </c>
      <c r="H345" s="2" t="s">
        <v>4484</v>
      </c>
      <c r="I345" s="2" t="s">
        <v>4485</v>
      </c>
      <c r="J345" s="2" t="s">
        <v>4486</v>
      </c>
      <c r="K345" s="3">
        <v>108427.87</v>
      </c>
      <c r="L345" s="3">
        <v>94609.6</v>
      </c>
      <c r="M345" s="3">
        <f>L345-K345</f>
      </c>
      <c r="N345" s="4">
        <f>IF(K345=0,0,M345/K345)</f>
      </c>
      <c r="O345" s="2" t="s">
        <v>4487</v>
      </c>
      <c r="P345" s="2" t="s">
        <v>4488</v>
      </c>
      <c r="Q345" s="2" t="s">
        <v>4489</v>
      </c>
      <c r="R345" s="2" t="s">
        <v>4490</v>
      </c>
      <c r="S345" s="2" t="s">
        <v>4491</v>
      </c>
    </row>
    <row customHeight="true" ht="15" r="346">
      <c r="A346" s="2">
        <v>2024</v>
      </c>
      <c r="B346" s="2">
        <v>11</v>
      </c>
      <c r="C346" s="2" t="s">
        <v>4492</v>
      </c>
      <c r="D346" s="2" t="s">
        <v>4493</v>
      </c>
      <c r="E346" s="2" t="s">
        <v>4494</v>
      </c>
      <c r="F346" s="2" t="s">
        <v>4495</v>
      </c>
      <c r="G346" s="2" t="s">
        <v>4496</v>
      </c>
      <c r="H346" s="2" t="s">
        <v>4497</v>
      </c>
      <c r="I346" s="2" t="s">
        <v>4498</v>
      </c>
      <c r="J346" s="2" t="s">
        <v>4499</v>
      </c>
      <c r="K346" s="3">
        <v>45876.48</v>
      </c>
      <c r="L346" s="3">
        <v>54936.08</v>
      </c>
      <c r="M346" s="3">
        <f>L346-K346</f>
      </c>
      <c r="N346" s="4">
        <f>IF(K346=0,0,M346/K346)</f>
      </c>
      <c r="O346" s="2" t="s">
        <v>4500</v>
      </c>
      <c r="P346" s="2" t="s">
        <v>4501</v>
      </c>
      <c r="Q346" s="2" t="s">
        <v>4502</v>
      </c>
      <c r="R346" s="2" t="s">
        <v>4503</v>
      </c>
      <c r="S346" s="2" t="s">
        <v>4504</v>
      </c>
    </row>
    <row customHeight="true" ht="15" r="347">
      <c r="A347" s="2">
        <v>2024</v>
      </c>
      <c r="B347" s="2">
        <v>12</v>
      </c>
      <c r="C347" s="2" t="s">
        <v>4505</v>
      </c>
      <c r="D347" s="2" t="s">
        <v>4506</v>
      </c>
      <c r="E347" s="2" t="s">
        <v>4507</v>
      </c>
      <c r="F347" s="2" t="s">
        <v>4508</v>
      </c>
      <c r="G347" s="2" t="s">
        <v>4509</v>
      </c>
      <c r="H347" s="2" t="s">
        <v>4510</v>
      </c>
      <c r="I347" s="2" t="s">
        <v>4511</v>
      </c>
      <c r="J347" s="2" t="s">
        <v>4512</v>
      </c>
      <c r="K347" s="3">
        <v>100534.03</v>
      </c>
      <c r="L347" s="3">
        <v>105087.7</v>
      </c>
      <c r="M347" s="3">
        <f>L347-K347</f>
      </c>
      <c r="N347" s="4">
        <f>IF(K347=0,0,M347/K347)</f>
      </c>
      <c r="O347" s="2" t="s">
        <v>4513</v>
      </c>
      <c r="P347" s="2" t="s">
        <v>4514</v>
      </c>
      <c r="Q347" s="2" t="s">
        <v>4515</v>
      </c>
      <c r="R347" s="2" t="s">
        <v>4516</v>
      </c>
      <c r="S347" s="2" t="s">
        <v>4517</v>
      </c>
    </row>
    <row customHeight="true" ht="15" r="348">
      <c r="A348" s="2">
        <v>2024</v>
      </c>
      <c r="B348" s="2">
        <v>12</v>
      </c>
      <c r="C348" s="2" t="s">
        <v>4518</v>
      </c>
      <c r="D348" s="2" t="s">
        <v>4519</v>
      </c>
      <c r="E348" s="2" t="s">
        <v>4520</v>
      </c>
      <c r="F348" s="2" t="s">
        <v>4521</v>
      </c>
      <c r="G348" s="2" t="s">
        <v>4522</v>
      </c>
      <c r="H348" s="2" t="s">
        <v>4523</v>
      </c>
      <c r="I348" s="2" t="s">
        <v>4524</v>
      </c>
      <c r="J348" s="2" t="s">
        <v>4525</v>
      </c>
      <c r="K348" s="3">
        <v>30276.68</v>
      </c>
      <c r="L348" s="3">
        <v>30890.73</v>
      </c>
      <c r="M348" s="3">
        <f>L348-K348</f>
      </c>
      <c r="N348" s="4">
        <f>IF(K348=0,0,M348/K348)</f>
      </c>
      <c r="O348" s="2" t="s">
        <v>4526</v>
      </c>
      <c r="P348" s="2" t="s">
        <v>4527</v>
      </c>
      <c r="Q348" s="2" t="s">
        <v>4528</v>
      </c>
      <c r="R348" s="2" t="s">
        <v>4529</v>
      </c>
      <c r="S348" s="2" t="s">
        <v>4530</v>
      </c>
    </row>
    <row customHeight="true" ht="15" r="349">
      <c r="A349" s="2">
        <v>2024</v>
      </c>
      <c r="B349" s="2">
        <v>12</v>
      </c>
      <c r="C349" s="2" t="s">
        <v>4531</v>
      </c>
      <c r="D349" s="2" t="s">
        <v>4532</v>
      </c>
      <c r="E349" s="2" t="s">
        <v>4533</v>
      </c>
      <c r="F349" s="2" t="s">
        <v>4534</v>
      </c>
      <c r="G349" s="2" t="s">
        <v>4535</v>
      </c>
      <c r="H349" s="2" t="s">
        <v>4536</v>
      </c>
      <c r="I349" s="2" t="s">
        <v>4537</v>
      </c>
      <c r="J349" s="2" t="s">
        <v>4538</v>
      </c>
      <c r="K349" s="3">
        <v>293894.21</v>
      </c>
      <c r="L349" s="3">
        <v>242228.95</v>
      </c>
      <c r="M349" s="3">
        <f>L349-K349</f>
      </c>
      <c r="N349" s="4">
        <f>IF(K349=0,0,M349/K349)</f>
      </c>
      <c r="O349" s="2" t="s">
        <v>4539</v>
      </c>
      <c r="P349" s="2" t="s">
        <v>4540</v>
      </c>
      <c r="Q349" s="2" t="s">
        <v>4541</v>
      </c>
      <c r="R349" s="2" t="s">
        <v>4542</v>
      </c>
      <c r="S349" s="2" t="s">
        <v>4543</v>
      </c>
    </row>
    <row customHeight="true" ht="15" r="350">
      <c r="A350" s="2">
        <v>2024</v>
      </c>
      <c r="B350" s="2">
        <v>12</v>
      </c>
      <c r="C350" s="2" t="s">
        <v>4544</v>
      </c>
      <c r="D350" s="2" t="s">
        <v>4545</v>
      </c>
      <c r="E350" s="2" t="s">
        <v>4546</v>
      </c>
      <c r="F350" s="2" t="s">
        <v>4547</v>
      </c>
      <c r="G350" s="2" t="s">
        <v>4548</v>
      </c>
      <c r="H350" s="2" t="s">
        <v>4549</v>
      </c>
      <c r="I350" s="2" t="s">
        <v>4550</v>
      </c>
      <c r="J350" s="2" t="s">
        <v>4551</v>
      </c>
      <c r="K350" s="3">
        <v>326658.67</v>
      </c>
      <c r="L350" s="3">
        <v>304274.16</v>
      </c>
      <c r="M350" s="3">
        <f>L350-K350</f>
      </c>
      <c r="N350" s="4">
        <f>IF(K350=0,0,M350/K350)</f>
      </c>
      <c r="O350" s="2" t="s">
        <v>4552</v>
      </c>
      <c r="P350" s="2" t="s">
        <v>4553</v>
      </c>
      <c r="Q350" s="2" t="s">
        <v>4554</v>
      </c>
      <c r="R350" s="2" t="s">
        <v>4555</v>
      </c>
      <c r="S350" s="2" t="s">
        <v>4556</v>
      </c>
    </row>
    <row customHeight="true" ht="15" r="351">
      <c r="A351" s="2">
        <v>2024</v>
      </c>
      <c r="B351" s="2">
        <v>12</v>
      </c>
      <c r="C351" s="2" t="s">
        <v>4557</v>
      </c>
      <c r="D351" s="2" t="s">
        <v>4558</v>
      </c>
      <c r="E351" s="2" t="s">
        <v>4559</v>
      </c>
      <c r="F351" s="2" t="s">
        <v>4560</v>
      </c>
      <c r="G351" s="2" t="s">
        <v>4561</v>
      </c>
      <c r="H351" s="2" t="s">
        <v>4562</v>
      </c>
      <c r="I351" s="2" t="s">
        <v>4563</v>
      </c>
      <c r="J351" s="2" t="s">
        <v>4564</v>
      </c>
      <c r="K351" s="3">
        <v>29809.05</v>
      </c>
      <c r="L351" s="3">
        <v>33590.4</v>
      </c>
      <c r="M351" s="3">
        <f>L351-K351</f>
      </c>
      <c r="N351" s="4">
        <f>IF(K351=0,0,M351/K351)</f>
      </c>
      <c r="O351" s="2" t="s">
        <v>4565</v>
      </c>
      <c r="P351" s="2" t="s">
        <v>4566</v>
      </c>
      <c r="Q351" s="2" t="s">
        <v>4567</v>
      </c>
      <c r="R351" s="2" t="s">
        <v>4568</v>
      </c>
      <c r="S351" s="2" t="s">
        <v>4569</v>
      </c>
    </row>
    <row customHeight="true" ht="15" r="352">
      <c r="A352" s="2">
        <v>2024</v>
      </c>
      <c r="B352" s="2">
        <v>12</v>
      </c>
      <c r="C352" s="2" t="s">
        <v>4570</v>
      </c>
      <c r="D352" s="2" t="s">
        <v>4571</v>
      </c>
      <c r="E352" s="2" t="s">
        <v>4572</v>
      </c>
      <c r="F352" s="2" t="s">
        <v>4573</v>
      </c>
      <c r="G352" s="2" t="s">
        <v>4574</v>
      </c>
      <c r="H352" s="2" t="s">
        <v>4575</v>
      </c>
      <c r="I352" s="2" t="s">
        <v>4576</v>
      </c>
      <c r="J352" s="2" t="s">
        <v>4577</v>
      </c>
      <c r="K352" s="3">
        <v>190481.38</v>
      </c>
      <c r="L352" s="3">
        <v>218989.22</v>
      </c>
      <c r="M352" s="3">
        <f>L352-K352</f>
      </c>
      <c r="N352" s="4">
        <f>IF(K352=0,0,M352/K352)</f>
      </c>
      <c r="O352" s="2" t="s">
        <v>4578</v>
      </c>
      <c r="P352" s="2" t="s">
        <v>4579</v>
      </c>
      <c r="Q352" s="2" t="s">
        <v>4580</v>
      </c>
      <c r="R352" s="2" t="s">
        <v>4581</v>
      </c>
      <c r="S352" s="2" t="s">
        <v>4582</v>
      </c>
    </row>
    <row customHeight="true" ht="15" r="353">
      <c r="A353" s="2">
        <v>2024</v>
      </c>
      <c r="B353" s="2">
        <v>12</v>
      </c>
      <c r="C353" s="2" t="s">
        <v>4583</v>
      </c>
      <c r="D353" s="2" t="s">
        <v>4584</v>
      </c>
      <c r="E353" s="2" t="s">
        <v>4585</v>
      </c>
      <c r="F353" s="2" t="s">
        <v>4586</v>
      </c>
      <c r="G353" s="2" t="s">
        <v>4587</v>
      </c>
      <c r="H353" s="2" t="s">
        <v>4588</v>
      </c>
      <c r="I353" s="2" t="s">
        <v>4589</v>
      </c>
      <c r="J353" s="2" t="s">
        <v>4590</v>
      </c>
      <c r="K353" s="3">
        <v>164467.11</v>
      </c>
      <c r="L353" s="3">
        <v>185097.25</v>
      </c>
      <c r="M353" s="3">
        <f>L353-K353</f>
      </c>
      <c r="N353" s="4">
        <f>IF(K353=0,0,M353/K353)</f>
      </c>
      <c r="O353" s="2" t="s">
        <v>4591</v>
      </c>
      <c r="P353" s="2" t="s">
        <v>4592</v>
      </c>
      <c r="Q353" s="2" t="s">
        <v>4593</v>
      </c>
      <c r="R353" s="2" t="s">
        <v>4594</v>
      </c>
      <c r="S353" s="2" t="s">
        <v>4595</v>
      </c>
    </row>
    <row customHeight="true" ht="15" r="354">
      <c r="A354" s="2">
        <v>2024</v>
      </c>
      <c r="B354" s="2">
        <v>12</v>
      </c>
      <c r="C354" s="2" t="s">
        <v>4596</v>
      </c>
      <c r="D354" s="2" t="s">
        <v>4597</v>
      </c>
      <c r="E354" s="2" t="s">
        <v>4598</v>
      </c>
      <c r="F354" s="2" t="s">
        <v>4599</v>
      </c>
      <c r="G354" s="2" t="s">
        <v>4600</v>
      </c>
      <c r="H354" s="2" t="s">
        <v>4601</v>
      </c>
      <c r="I354" s="2" t="s">
        <v>4602</v>
      </c>
      <c r="J354" s="2" t="s">
        <v>4603</v>
      </c>
      <c r="K354" s="3">
        <v>51072.85</v>
      </c>
      <c r="L354" s="3">
        <v>65089.04</v>
      </c>
      <c r="M354" s="3">
        <f>L354-K354</f>
      </c>
      <c r="N354" s="4">
        <f>IF(K354=0,0,M354/K354)</f>
      </c>
      <c r="O354" s="2" t="s">
        <v>4604</v>
      </c>
      <c r="P354" s="2" t="s">
        <v>4605</v>
      </c>
      <c r="Q354" s="2" t="s">
        <v>4606</v>
      </c>
      <c r="R354" s="2" t="s">
        <v>4607</v>
      </c>
      <c r="S354" s="2" t="s">
        <v>4608</v>
      </c>
    </row>
    <row customHeight="true" ht="15" r="355">
      <c r="A355" s="2">
        <v>2024</v>
      </c>
      <c r="B355" s="2">
        <v>12</v>
      </c>
      <c r="C355" s="2" t="s">
        <v>4609</v>
      </c>
      <c r="D355" s="2" t="s">
        <v>4610</v>
      </c>
      <c r="E355" s="2" t="s">
        <v>4611</v>
      </c>
      <c r="F355" s="2" t="s">
        <v>4612</v>
      </c>
      <c r="G355" s="2" t="s">
        <v>4613</v>
      </c>
      <c r="H355" s="2" t="s">
        <v>4614</v>
      </c>
      <c r="I355" s="2" t="s">
        <v>4615</v>
      </c>
      <c r="J355" s="2" t="s">
        <v>4616</v>
      </c>
      <c r="K355" s="3">
        <v>161777.95</v>
      </c>
      <c r="L355" s="3">
        <v>165448.65</v>
      </c>
      <c r="M355" s="3">
        <f>L355-K355</f>
      </c>
      <c r="N355" s="4">
        <f>IF(K355=0,0,M355/K355)</f>
      </c>
      <c r="O355" s="2" t="s">
        <v>4617</v>
      </c>
      <c r="P355" s="2" t="s">
        <v>4618</v>
      </c>
      <c r="Q355" s="2" t="s">
        <v>4619</v>
      </c>
      <c r="R355" s="2" t="s">
        <v>4620</v>
      </c>
      <c r="S355" s="2" t="s">
        <v>4621</v>
      </c>
    </row>
    <row customHeight="true" ht="15" r="356">
      <c r="A356" s="2">
        <v>2024</v>
      </c>
      <c r="B356" s="2">
        <v>12</v>
      </c>
      <c r="C356" s="2" t="s">
        <v>4622</v>
      </c>
      <c r="D356" s="2" t="s">
        <v>4623</v>
      </c>
      <c r="E356" s="2" t="s">
        <v>4624</v>
      </c>
      <c r="F356" s="2" t="s">
        <v>4625</v>
      </c>
      <c r="G356" s="2" t="s">
        <v>4626</v>
      </c>
      <c r="H356" s="2" t="s">
        <v>4627</v>
      </c>
      <c r="I356" s="2" t="s">
        <v>4628</v>
      </c>
      <c r="J356" s="2" t="s">
        <v>4629</v>
      </c>
      <c r="K356" s="3">
        <v>65174.82</v>
      </c>
      <c r="L356" s="3">
        <v>74102.58</v>
      </c>
      <c r="M356" s="3">
        <f>L356-K356</f>
      </c>
      <c r="N356" s="4">
        <f>IF(K356=0,0,M356/K356)</f>
      </c>
      <c r="O356" s="2" t="s">
        <v>4630</v>
      </c>
      <c r="P356" s="2" t="s">
        <v>4631</v>
      </c>
      <c r="Q356" s="2" t="s">
        <v>4632</v>
      </c>
      <c r="R356" s="2" t="s">
        <v>4633</v>
      </c>
      <c r="S356" s="2" t="s">
        <v>4634</v>
      </c>
    </row>
    <row customHeight="true" ht="15" r="357">
      <c r="A357" s="2">
        <v>2024</v>
      </c>
      <c r="B357" s="2">
        <v>12</v>
      </c>
      <c r="C357" s="2" t="s">
        <v>4635</v>
      </c>
      <c r="D357" s="2" t="s">
        <v>4636</v>
      </c>
      <c r="E357" s="2" t="s">
        <v>4637</v>
      </c>
      <c r="F357" s="2" t="s">
        <v>4638</v>
      </c>
      <c r="G357" s="2" t="s">
        <v>4639</v>
      </c>
      <c r="H357" s="2" t="s">
        <v>4640</v>
      </c>
      <c r="I357" s="2" t="s">
        <v>4641</v>
      </c>
      <c r="J357" s="2" t="s">
        <v>4642</v>
      </c>
      <c r="K357" s="3">
        <v>65151.61</v>
      </c>
      <c r="L357" s="3">
        <v>75139.19</v>
      </c>
      <c r="M357" s="3">
        <f>L357-K357</f>
      </c>
      <c r="N357" s="4">
        <f>IF(K357=0,0,M357/K357)</f>
      </c>
      <c r="O357" s="2" t="s">
        <v>4643</v>
      </c>
      <c r="P357" s="2" t="s">
        <v>4644</v>
      </c>
      <c r="Q357" s="2" t="s">
        <v>4645</v>
      </c>
      <c r="R357" s="2" t="s">
        <v>4646</v>
      </c>
      <c r="S357" s="2" t="s">
        <v>4647</v>
      </c>
    </row>
    <row customHeight="true" ht="15" r="358">
      <c r="A358" s="2">
        <v>2024</v>
      </c>
      <c r="B358" s="2">
        <v>12</v>
      </c>
      <c r="C358" s="2" t="s">
        <v>4648</v>
      </c>
      <c r="D358" s="2" t="s">
        <v>4649</v>
      </c>
      <c r="E358" s="2" t="s">
        <v>4650</v>
      </c>
      <c r="F358" s="2" t="s">
        <v>4651</v>
      </c>
      <c r="G358" s="2" t="s">
        <v>4652</v>
      </c>
      <c r="H358" s="2" t="s">
        <v>4653</v>
      </c>
      <c r="I358" s="2" t="s">
        <v>4654</v>
      </c>
      <c r="J358" s="2" t="s">
        <v>4655</v>
      </c>
      <c r="K358" s="3">
        <v>39983.03</v>
      </c>
      <c r="L358" s="3">
        <v>47166.07</v>
      </c>
      <c r="M358" s="3">
        <f>L358-K358</f>
      </c>
      <c r="N358" s="4">
        <f>IF(K358=0,0,M358/K358)</f>
      </c>
      <c r="O358" s="2" t="s">
        <v>4656</v>
      </c>
      <c r="P358" s="2" t="s">
        <v>4657</v>
      </c>
      <c r="Q358" s="2" t="s">
        <v>4658</v>
      </c>
      <c r="R358" s="2" t="s">
        <v>4659</v>
      </c>
      <c r="S358" s="2" t="s">
        <v>4660</v>
      </c>
    </row>
    <row customHeight="true" ht="15" r="359">
      <c r="A359" s="2">
        <v>2024</v>
      </c>
      <c r="B359" s="2">
        <v>12</v>
      </c>
      <c r="C359" s="2" t="s">
        <v>4661</v>
      </c>
      <c r="D359" s="2" t="s">
        <v>4662</v>
      </c>
      <c r="E359" s="2" t="s">
        <v>4663</v>
      </c>
      <c r="F359" s="2" t="s">
        <v>4664</v>
      </c>
      <c r="G359" s="2" t="s">
        <v>4665</v>
      </c>
      <c r="H359" s="2" t="s">
        <v>4666</v>
      </c>
      <c r="I359" s="2" t="s">
        <v>4667</v>
      </c>
      <c r="J359" s="2" t="s">
        <v>4668</v>
      </c>
      <c r="K359" s="3">
        <v>22168.97</v>
      </c>
      <c r="L359" s="3">
        <v>22121.56</v>
      </c>
      <c r="M359" s="3">
        <f>L359-K359</f>
      </c>
      <c r="N359" s="4">
        <f>IF(K359=0,0,M359/K359)</f>
      </c>
      <c r="O359" s="2" t="s">
        <v>4669</v>
      </c>
      <c r="P359" s="2" t="s">
        <v>4670</v>
      </c>
      <c r="Q359" s="2" t="s">
        <v>4671</v>
      </c>
      <c r="R359" s="2" t="s">
        <v>4672</v>
      </c>
      <c r="S359" s="2" t="s">
        <v>4673</v>
      </c>
    </row>
    <row customHeight="true" ht="15" r="360">
      <c r="A360" s="2">
        <v>2024</v>
      </c>
      <c r="B360" s="2">
        <v>12</v>
      </c>
      <c r="C360" s="2" t="s">
        <v>4674</v>
      </c>
      <c r="D360" s="2" t="s">
        <v>4675</v>
      </c>
      <c r="E360" s="2" t="s">
        <v>4676</v>
      </c>
      <c r="F360" s="2" t="s">
        <v>4677</v>
      </c>
      <c r="G360" s="2" t="s">
        <v>4678</v>
      </c>
      <c r="H360" s="2" t="s">
        <v>4679</v>
      </c>
      <c r="I360" s="2" t="s">
        <v>4680</v>
      </c>
      <c r="J360" s="2" t="s">
        <v>4681</v>
      </c>
      <c r="K360" s="3">
        <v>133630.3</v>
      </c>
      <c r="L360" s="3">
        <v>147729.24</v>
      </c>
      <c r="M360" s="3">
        <f>L360-K360</f>
      </c>
      <c r="N360" s="4">
        <f>IF(K360=0,0,M360/K360)</f>
      </c>
      <c r="O360" s="2" t="s">
        <v>4682</v>
      </c>
      <c r="P360" s="2" t="s">
        <v>4683</v>
      </c>
      <c r="Q360" s="2" t="s">
        <v>4684</v>
      </c>
      <c r="R360" s="2" t="s">
        <v>4685</v>
      </c>
      <c r="S360" s="2" t="s">
        <v>4686</v>
      </c>
    </row>
    <row customHeight="true" ht="15" r="361">
      <c r="A361" s="2">
        <v>2024</v>
      </c>
      <c r="B361" s="2">
        <v>12</v>
      </c>
      <c r="C361" s="2" t="s">
        <v>4687</v>
      </c>
      <c r="D361" s="2" t="s">
        <v>4688</v>
      </c>
      <c r="E361" s="2" t="s">
        <v>4689</v>
      </c>
      <c r="F361" s="2" t="s">
        <v>4690</v>
      </c>
      <c r="G361" s="2" t="s">
        <v>4691</v>
      </c>
      <c r="H361" s="2" t="s">
        <v>4692</v>
      </c>
      <c r="I361" s="2" t="s">
        <v>4693</v>
      </c>
      <c r="J361" s="2" t="s">
        <v>4694</v>
      </c>
      <c r="K361" s="3">
        <v>430425.95</v>
      </c>
      <c r="L361" s="3">
        <v>482278.02</v>
      </c>
      <c r="M361" s="3">
        <f>L361-K361</f>
      </c>
      <c r="N361" s="4">
        <f>IF(K361=0,0,M361/K361)</f>
      </c>
      <c r="O361" s="2" t="s">
        <v>4695</v>
      </c>
      <c r="P361" s="2" t="s">
        <v>4696</v>
      </c>
      <c r="Q361" s="2" t="s">
        <v>4697</v>
      </c>
      <c r="R361" s="2" t="s">
        <v>4698</v>
      </c>
      <c r="S361" s="2" t="s">
        <v>4699</v>
      </c>
    </row>
    <row customHeight="true" ht="15" r="362">
      <c r="A362" s="2">
        <v>2025</v>
      </c>
      <c r="B362" s="2">
        <v>1</v>
      </c>
      <c r="C362" s="2" t="s">
        <v>4700</v>
      </c>
      <c r="D362" s="2" t="s">
        <v>4701</v>
      </c>
      <c r="E362" s="2" t="s">
        <v>4702</v>
      </c>
      <c r="F362" s="2" t="s">
        <v>4703</v>
      </c>
      <c r="G362" s="2" t="s">
        <v>4704</v>
      </c>
      <c r="H362" s="2" t="s">
        <v>4705</v>
      </c>
      <c r="I362" s="2" t="s">
        <v>4706</v>
      </c>
      <c r="J362" s="2" t="s">
        <v>4707</v>
      </c>
      <c r="K362" s="3">
        <v>439484.2</v>
      </c>
      <c r="L362" s="3">
        <v>391863.73</v>
      </c>
      <c r="M362" s="3">
        <f>L362-K362</f>
      </c>
      <c r="N362" s="4">
        <f>IF(K362=0,0,M362/K362)</f>
      </c>
      <c r="O362" s="2" t="s">
        <v>4708</v>
      </c>
      <c r="P362" s="2" t="s">
        <v>4709</v>
      </c>
      <c r="Q362" s="2" t="s">
        <v>4710</v>
      </c>
      <c r="R362" s="2" t="s">
        <v>4711</v>
      </c>
      <c r="S362" s="2" t="s">
        <v>4712</v>
      </c>
    </row>
    <row customHeight="true" ht="15" r="363">
      <c r="A363" s="2">
        <v>2025</v>
      </c>
      <c r="B363" s="2">
        <v>1</v>
      </c>
      <c r="C363" s="2" t="s">
        <v>4713</v>
      </c>
      <c r="D363" s="2" t="s">
        <v>4714</v>
      </c>
      <c r="E363" s="2" t="s">
        <v>4715</v>
      </c>
      <c r="F363" s="2" t="s">
        <v>4716</v>
      </c>
      <c r="G363" s="2" t="s">
        <v>4717</v>
      </c>
      <c r="H363" s="2" t="s">
        <v>4718</v>
      </c>
      <c r="I363" s="2" t="s">
        <v>4719</v>
      </c>
      <c r="J363" s="2" t="s">
        <v>4720</v>
      </c>
      <c r="K363" s="3">
        <v>281475.99</v>
      </c>
      <c r="L363" s="3">
        <v>248004.74</v>
      </c>
      <c r="M363" s="3">
        <f>L363-K363</f>
      </c>
      <c r="N363" s="4">
        <f>IF(K363=0,0,M363/K363)</f>
      </c>
      <c r="O363" s="2" t="s">
        <v>4721</v>
      </c>
      <c r="P363" s="2" t="s">
        <v>4722</v>
      </c>
      <c r="Q363" s="2" t="s">
        <v>4723</v>
      </c>
      <c r="R363" s="2" t="s">
        <v>4724</v>
      </c>
      <c r="S363" s="2" t="s">
        <v>4725</v>
      </c>
    </row>
    <row customHeight="true" ht="15" r="364">
      <c r="A364" s="2">
        <v>2025</v>
      </c>
      <c r="B364" s="2">
        <v>1</v>
      </c>
      <c r="C364" s="2" t="s">
        <v>4726</v>
      </c>
      <c r="D364" s="2" t="s">
        <v>4727</v>
      </c>
      <c r="E364" s="2" t="s">
        <v>4728</v>
      </c>
      <c r="F364" s="2" t="s">
        <v>4729</v>
      </c>
      <c r="G364" s="2" t="s">
        <v>4730</v>
      </c>
      <c r="H364" s="2" t="s">
        <v>4731</v>
      </c>
      <c r="I364" s="2" t="s">
        <v>4732</v>
      </c>
      <c r="J364" s="2" t="s">
        <v>4733</v>
      </c>
      <c r="K364" s="3">
        <v>78365.02</v>
      </c>
      <c r="L364" s="3">
        <v>91154.16</v>
      </c>
      <c r="M364" s="3">
        <f>L364-K364</f>
      </c>
      <c r="N364" s="4">
        <f>IF(K364=0,0,M364/K364)</f>
      </c>
      <c r="O364" s="2" t="s">
        <v>4734</v>
      </c>
      <c r="P364" s="2" t="s">
        <v>4735</v>
      </c>
      <c r="Q364" s="2" t="s">
        <v>4736</v>
      </c>
      <c r="R364" s="2" t="s">
        <v>4737</v>
      </c>
      <c r="S364" s="2" t="s">
        <v>4738</v>
      </c>
    </row>
    <row customHeight="true" ht="15" r="365">
      <c r="A365" s="2">
        <v>2025</v>
      </c>
      <c r="B365" s="2">
        <v>1</v>
      </c>
      <c r="C365" s="2" t="s">
        <v>4739</v>
      </c>
      <c r="D365" s="2" t="s">
        <v>4740</v>
      </c>
      <c r="E365" s="2" t="s">
        <v>4741</v>
      </c>
      <c r="F365" s="2" t="s">
        <v>4742</v>
      </c>
      <c r="G365" s="2" t="s">
        <v>4743</v>
      </c>
      <c r="H365" s="2" t="s">
        <v>4744</v>
      </c>
      <c r="I365" s="2" t="s">
        <v>4745</v>
      </c>
      <c r="J365" s="2" t="s">
        <v>4746</v>
      </c>
      <c r="K365" s="3">
        <v>361453.04</v>
      </c>
      <c r="L365" s="3">
        <v>369007.96</v>
      </c>
      <c r="M365" s="3">
        <f>L365-K365</f>
      </c>
      <c r="N365" s="4">
        <f>IF(K365=0,0,M365/K365)</f>
      </c>
      <c r="O365" s="2" t="s">
        <v>4747</v>
      </c>
      <c r="P365" s="2" t="s">
        <v>4748</v>
      </c>
      <c r="Q365" s="2" t="s">
        <v>4749</v>
      </c>
      <c r="R365" s="2" t="s">
        <v>4750</v>
      </c>
      <c r="S365" s="2" t="s">
        <v>4751</v>
      </c>
    </row>
    <row customHeight="true" ht="15" r="366">
      <c r="A366" s="2">
        <v>2025</v>
      </c>
      <c r="B366" s="2">
        <v>1</v>
      </c>
      <c r="C366" s="2" t="s">
        <v>4752</v>
      </c>
      <c r="D366" s="2" t="s">
        <v>4753</v>
      </c>
      <c r="E366" s="2" t="s">
        <v>4754</v>
      </c>
      <c r="F366" s="2" t="s">
        <v>4755</v>
      </c>
      <c r="G366" s="2" t="s">
        <v>4756</v>
      </c>
      <c r="H366" s="2" t="s">
        <v>4757</v>
      </c>
      <c r="I366" s="2" t="s">
        <v>4758</v>
      </c>
      <c r="J366" s="2" t="s">
        <v>4759</v>
      </c>
      <c r="K366" s="3">
        <v>229160.3</v>
      </c>
      <c r="L366" s="3">
        <v>211688.38</v>
      </c>
      <c r="M366" s="3">
        <f>L366-K366</f>
      </c>
      <c r="N366" s="4">
        <f>IF(K366=0,0,M366/K366)</f>
      </c>
      <c r="O366" s="2" t="s">
        <v>4760</v>
      </c>
      <c r="P366" s="2" t="s">
        <v>4761</v>
      </c>
      <c r="Q366" s="2" t="s">
        <v>4762</v>
      </c>
      <c r="R366" s="2" t="s">
        <v>4763</v>
      </c>
      <c r="S366" s="2" t="s">
        <v>4764</v>
      </c>
    </row>
    <row customHeight="true" ht="15" r="367">
      <c r="A367" s="2">
        <v>2025</v>
      </c>
      <c r="B367" s="2">
        <v>1</v>
      </c>
      <c r="C367" s="2" t="s">
        <v>4765</v>
      </c>
      <c r="D367" s="2" t="s">
        <v>4766</v>
      </c>
      <c r="E367" s="2" t="s">
        <v>4767</v>
      </c>
      <c r="F367" s="2" t="s">
        <v>4768</v>
      </c>
      <c r="G367" s="2" t="s">
        <v>4769</v>
      </c>
      <c r="H367" s="2" t="s">
        <v>4770</v>
      </c>
      <c r="I367" s="2" t="s">
        <v>4771</v>
      </c>
      <c r="J367" s="2" t="s">
        <v>4772</v>
      </c>
      <c r="K367" s="3">
        <v>111220.88</v>
      </c>
      <c r="L367" s="3">
        <v>108679.47</v>
      </c>
      <c r="M367" s="3">
        <f>L367-K367</f>
      </c>
      <c r="N367" s="4">
        <f>IF(K367=0,0,M367/K367)</f>
      </c>
      <c r="O367" s="2" t="s">
        <v>4773</v>
      </c>
      <c r="P367" s="2" t="s">
        <v>4774</v>
      </c>
      <c r="Q367" s="2" t="s">
        <v>4775</v>
      </c>
      <c r="R367" s="2" t="s">
        <v>4776</v>
      </c>
      <c r="S367" s="2" t="s">
        <v>4777</v>
      </c>
    </row>
    <row customHeight="true" ht="15" r="368">
      <c r="A368" s="2">
        <v>2025</v>
      </c>
      <c r="B368" s="2">
        <v>1</v>
      </c>
      <c r="C368" s="2" t="s">
        <v>4778</v>
      </c>
      <c r="D368" s="2" t="s">
        <v>4779</v>
      </c>
      <c r="E368" s="2" t="s">
        <v>4780</v>
      </c>
      <c r="F368" s="2" t="s">
        <v>4781</v>
      </c>
      <c r="G368" s="2" t="s">
        <v>4782</v>
      </c>
      <c r="H368" s="2" t="s">
        <v>4783</v>
      </c>
      <c r="I368" s="2" t="s">
        <v>4784</v>
      </c>
      <c r="J368" s="2" t="s">
        <v>4785</v>
      </c>
      <c r="K368" s="3">
        <v>82397.02</v>
      </c>
      <c r="L368" s="3">
        <v>83779.7</v>
      </c>
      <c r="M368" s="3">
        <f>L368-K368</f>
      </c>
      <c r="N368" s="4">
        <f>IF(K368=0,0,M368/K368)</f>
      </c>
      <c r="O368" s="2" t="s">
        <v>4786</v>
      </c>
      <c r="P368" s="2" t="s">
        <v>4787</v>
      </c>
      <c r="Q368" s="2" t="s">
        <v>4788</v>
      </c>
      <c r="R368" s="2" t="s">
        <v>4789</v>
      </c>
      <c r="S368" s="2" t="s">
        <v>4790</v>
      </c>
    </row>
    <row customHeight="true" ht="15" r="369">
      <c r="A369" s="2">
        <v>2025</v>
      </c>
      <c r="B369" s="2">
        <v>1</v>
      </c>
      <c r="C369" s="2" t="s">
        <v>4791</v>
      </c>
      <c r="D369" s="2" t="s">
        <v>4792</v>
      </c>
      <c r="E369" s="2" t="s">
        <v>4793</v>
      </c>
      <c r="F369" s="2" t="s">
        <v>4794</v>
      </c>
      <c r="G369" s="2" t="s">
        <v>4795</v>
      </c>
      <c r="H369" s="2" t="s">
        <v>4796</v>
      </c>
      <c r="I369" s="2" t="s">
        <v>4797</v>
      </c>
      <c r="J369" s="2" t="s">
        <v>4798</v>
      </c>
      <c r="K369" s="3">
        <v>78824.31</v>
      </c>
      <c r="L369" s="3">
        <v>99853.17</v>
      </c>
      <c r="M369" s="3">
        <f>L369-K369</f>
      </c>
      <c r="N369" s="4">
        <f>IF(K369=0,0,M369/K369)</f>
      </c>
      <c r="O369" s="2" t="s">
        <v>4799</v>
      </c>
      <c r="P369" s="2" t="s">
        <v>4800</v>
      </c>
      <c r="Q369" s="2" t="s">
        <v>4801</v>
      </c>
      <c r="R369" s="2" t="s">
        <v>4802</v>
      </c>
      <c r="S369" s="2" t="s">
        <v>4803</v>
      </c>
    </row>
    <row customHeight="true" ht="15" r="370">
      <c r="A370" s="2">
        <v>2025</v>
      </c>
      <c r="B370" s="2">
        <v>1</v>
      </c>
      <c r="C370" s="2" t="s">
        <v>4804</v>
      </c>
      <c r="D370" s="2" t="s">
        <v>4805</v>
      </c>
      <c r="E370" s="2" t="s">
        <v>4806</v>
      </c>
      <c r="F370" s="2" t="s">
        <v>4807</v>
      </c>
      <c r="G370" s="2" t="s">
        <v>4808</v>
      </c>
      <c r="H370" s="2" t="s">
        <v>4809</v>
      </c>
      <c r="I370" s="2" t="s">
        <v>4810</v>
      </c>
      <c r="J370" s="2" t="s">
        <v>4811</v>
      </c>
      <c r="K370" s="3">
        <v>359691.61</v>
      </c>
      <c r="L370" s="3">
        <v>418669.61</v>
      </c>
      <c r="M370" s="3">
        <f>L370-K370</f>
      </c>
      <c r="N370" s="4">
        <f>IF(K370=0,0,M370/K370)</f>
      </c>
      <c r="O370" s="2" t="s">
        <v>4812</v>
      </c>
      <c r="P370" s="2" t="s">
        <v>4813</v>
      </c>
      <c r="Q370" s="2" t="s">
        <v>4814</v>
      </c>
      <c r="R370" s="2" t="s">
        <v>4815</v>
      </c>
      <c r="S370" s="2" t="s">
        <v>4816</v>
      </c>
    </row>
    <row customHeight="true" ht="15" r="371">
      <c r="A371" s="2">
        <v>2025</v>
      </c>
      <c r="B371" s="2">
        <v>1</v>
      </c>
      <c r="C371" s="2" t="s">
        <v>4817</v>
      </c>
      <c r="D371" s="2" t="s">
        <v>4818</v>
      </c>
      <c r="E371" s="2" t="s">
        <v>4819</v>
      </c>
      <c r="F371" s="2" t="s">
        <v>4820</v>
      </c>
      <c r="G371" s="2" t="s">
        <v>4821</v>
      </c>
      <c r="H371" s="2" t="s">
        <v>4822</v>
      </c>
      <c r="I371" s="2" t="s">
        <v>4823</v>
      </c>
      <c r="J371" s="2" t="s">
        <v>4824</v>
      </c>
      <c r="K371" s="3">
        <v>361117.73</v>
      </c>
      <c r="L371" s="3">
        <v>292444.32</v>
      </c>
      <c r="M371" s="3">
        <f>L371-K371</f>
      </c>
      <c r="N371" s="4">
        <f>IF(K371=0,0,M371/K371)</f>
      </c>
      <c r="O371" s="2" t="s">
        <v>4825</v>
      </c>
      <c r="P371" s="2" t="s">
        <v>4826</v>
      </c>
      <c r="Q371" s="2" t="s">
        <v>4827</v>
      </c>
      <c r="R371" s="2" t="s">
        <v>4828</v>
      </c>
      <c r="S371" s="2" t="s">
        <v>4829</v>
      </c>
    </row>
    <row customHeight="true" ht="15" r="372">
      <c r="A372" s="2">
        <v>2025</v>
      </c>
      <c r="B372" s="2">
        <v>1</v>
      </c>
      <c r="C372" s="2" t="s">
        <v>4830</v>
      </c>
      <c r="D372" s="2" t="s">
        <v>4831</v>
      </c>
      <c r="E372" s="2" t="s">
        <v>4832</v>
      </c>
      <c r="F372" s="2" t="s">
        <v>4833</v>
      </c>
      <c r="G372" s="2" t="s">
        <v>4834</v>
      </c>
      <c r="H372" s="2" t="s">
        <v>4835</v>
      </c>
      <c r="I372" s="2" t="s">
        <v>4836</v>
      </c>
      <c r="J372" s="2" t="s">
        <v>4837</v>
      </c>
      <c r="K372" s="3">
        <v>108464.04</v>
      </c>
      <c r="L372" s="3">
        <v>137874.12</v>
      </c>
      <c r="M372" s="3">
        <f>L372-K372</f>
      </c>
      <c r="N372" s="4">
        <f>IF(K372=0,0,M372/K372)</f>
      </c>
      <c r="O372" s="2" t="s">
        <v>4838</v>
      </c>
      <c r="P372" s="2" t="s">
        <v>4839</v>
      </c>
      <c r="Q372" s="2" t="s">
        <v>4840</v>
      </c>
      <c r="R372" s="2" t="s">
        <v>4841</v>
      </c>
      <c r="S372" s="2" t="s">
        <v>4842</v>
      </c>
    </row>
    <row customHeight="true" ht="15" r="373">
      <c r="A373" s="2">
        <v>2025</v>
      </c>
      <c r="B373" s="2">
        <v>1</v>
      </c>
      <c r="C373" s="2" t="s">
        <v>4843</v>
      </c>
      <c r="D373" s="2" t="s">
        <v>4844</v>
      </c>
      <c r="E373" s="2" t="s">
        <v>4845</v>
      </c>
      <c r="F373" s="2" t="s">
        <v>4846</v>
      </c>
      <c r="G373" s="2" t="s">
        <v>4847</v>
      </c>
      <c r="H373" s="2" t="s">
        <v>4848</v>
      </c>
      <c r="I373" s="2" t="s">
        <v>4849</v>
      </c>
      <c r="J373" s="2" t="s">
        <v>4850</v>
      </c>
      <c r="K373" s="3">
        <v>116763.64</v>
      </c>
      <c r="L373" s="3">
        <v>105884.28</v>
      </c>
      <c r="M373" s="3">
        <f>L373-K373</f>
      </c>
      <c r="N373" s="4">
        <f>IF(K373=0,0,M373/K373)</f>
      </c>
      <c r="O373" s="2" t="s">
        <v>4851</v>
      </c>
      <c r="P373" s="2" t="s">
        <v>4852</v>
      </c>
      <c r="Q373" s="2" t="s">
        <v>4853</v>
      </c>
      <c r="R373" s="2" t="s">
        <v>4854</v>
      </c>
      <c r="S373" s="2" t="s">
        <v>4855</v>
      </c>
    </row>
    <row customHeight="true" ht="15" r="374">
      <c r="A374" s="2">
        <v>2025</v>
      </c>
      <c r="B374" s="2">
        <v>1</v>
      </c>
      <c r="C374" s="2" t="s">
        <v>4856</v>
      </c>
      <c r="D374" s="2" t="s">
        <v>4857</v>
      </c>
      <c r="E374" s="2" t="s">
        <v>4858</v>
      </c>
      <c r="F374" s="2" t="s">
        <v>4859</v>
      </c>
      <c r="G374" s="2" t="s">
        <v>4860</v>
      </c>
      <c r="H374" s="2" t="s">
        <v>4861</v>
      </c>
      <c r="I374" s="2" t="s">
        <v>4862</v>
      </c>
      <c r="J374" s="2" t="s">
        <v>4863</v>
      </c>
      <c r="K374" s="3">
        <v>110450.71</v>
      </c>
      <c r="L374" s="3">
        <v>128254.27</v>
      </c>
      <c r="M374" s="3">
        <f>L374-K374</f>
      </c>
      <c r="N374" s="4">
        <f>IF(K374=0,0,M374/K374)</f>
      </c>
      <c r="O374" s="2" t="s">
        <v>4864</v>
      </c>
      <c r="P374" s="2" t="s">
        <v>4865</v>
      </c>
      <c r="Q374" s="2" t="s">
        <v>4866</v>
      </c>
      <c r="R374" s="2" t="s">
        <v>4867</v>
      </c>
      <c r="S374" s="2" t="s">
        <v>4868</v>
      </c>
    </row>
    <row customHeight="true" ht="15" r="375">
      <c r="A375" s="2">
        <v>2025</v>
      </c>
      <c r="B375" s="2">
        <v>1</v>
      </c>
      <c r="C375" s="2" t="s">
        <v>4869</v>
      </c>
      <c r="D375" s="2" t="s">
        <v>4870</v>
      </c>
      <c r="E375" s="2" t="s">
        <v>4871</v>
      </c>
      <c r="F375" s="2" t="s">
        <v>4872</v>
      </c>
      <c r="G375" s="2" t="s">
        <v>4873</v>
      </c>
      <c r="H375" s="2" t="s">
        <v>4874</v>
      </c>
      <c r="I375" s="2" t="s">
        <v>4875</v>
      </c>
      <c r="J375" s="2" t="s">
        <v>4876</v>
      </c>
      <c r="K375" s="3">
        <v>128308.22</v>
      </c>
      <c r="L375" s="3">
        <v>158514.56</v>
      </c>
      <c r="M375" s="3">
        <f>L375-K375</f>
      </c>
      <c r="N375" s="4">
        <f>IF(K375=0,0,M375/K375)</f>
      </c>
      <c r="O375" s="2" t="s">
        <v>4877</v>
      </c>
      <c r="P375" s="2" t="s">
        <v>4878</v>
      </c>
      <c r="Q375" s="2" t="s">
        <v>4879</v>
      </c>
      <c r="R375" s="2" t="s">
        <v>4880</v>
      </c>
      <c r="S375" s="2" t="s">
        <v>4881</v>
      </c>
    </row>
    <row customHeight="true" ht="15" r="376">
      <c r="A376" s="2">
        <v>2025</v>
      </c>
      <c r="B376" s="2">
        <v>1</v>
      </c>
      <c r="C376" s="2" t="s">
        <v>4882</v>
      </c>
      <c r="D376" s="2" t="s">
        <v>4883</v>
      </c>
      <c r="E376" s="2" t="s">
        <v>4884</v>
      </c>
      <c r="F376" s="2" t="s">
        <v>4885</v>
      </c>
      <c r="G376" s="2" t="s">
        <v>4886</v>
      </c>
      <c r="H376" s="2" t="s">
        <v>4887</v>
      </c>
      <c r="I376" s="2" t="s">
        <v>4888</v>
      </c>
      <c r="J376" s="2" t="s">
        <v>4889</v>
      </c>
      <c r="K376" s="3">
        <v>39487.95</v>
      </c>
      <c r="L376" s="3">
        <v>45257.22</v>
      </c>
      <c r="M376" s="3">
        <f>L376-K376</f>
      </c>
      <c r="N376" s="4">
        <f>IF(K376=0,0,M376/K376)</f>
      </c>
      <c r="O376" s="2" t="s">
        <v>4890</v>
      </c>
      <c r="P376" s="2" t="s">
        <v>4891</v>
      </c>
      <c r="Q376" s="2" t="s">
        <v>4892</v>
      </c>
      <c r="R376" s="2" t="s">
        <v>4893</v>
      </c>
      <c r="S376" s="2" t="s">
        <v>4894</v>
      </c>
    </row>
    <row customHeight="true" ht="15" r="377">
      <c r="A377" s="2">
        <v>2025</v>
      </c>
      <c r="B377" s="2">
        <v>2</v>
      </c>
      <c r="C377" s="2" t="s">
        <v>4895</v>
      </c>
      <c r="D377" s="2" t="s">
        <v>4896</v>
      </c>
      <c r="E377" s="2" t="s">
        <v>4897</v>
      </c>
      <c r="F377" s="2" t="s">
        <v>4898</v>
      </c>
      <c r="G377" s="2" t="s">
        <v>4899</v>
      </c>
      <c r="H377" s="2" t="s">
        <v>4900</v>
      </c>
      <c r="I377" s="2" t="s">
        <v>4901</v>
      </c>
      <c r="J377" s="2" t="s">
        <v>4902</v>
      </c>
      <c r="K377" s="3">
        <v>415162.96</v>
      </c>
      <c r="L377" s="3">
        <v>344783.42</v>
      </c>
      <c r="M377" s="3">
        <f>L377-K377</f>
      </c>
      <c r="N377" s="4">
        <f>IF(K377=0,0,M377/K377)</f>
      </c>
      <c r="O377" s="2" t="s">
        <v>4903</v>
      </c>
      <c r="P377" s="2" t="s">
        <v>4904</v>
      </c>
      <c r="Q377" s="2" t="s">
        <v>4905</v>
      </c>
      <c r="R377" s="2" t="s">
        <v>4906</v>
      </c>
      <c r="S377" s="2" t="s">
        <v>4907</v>
      </c>
    </row>
    <row customHeight="true" ht="15" r="378">
      <c r="A378" s="2">
        <v>2025</v>
      </c>
      <c r="B378" s="2">
        <v>2</v>
      </c>
      <c r="C378" s="2" t="s">
        <v>4908</v>
      </c>
      <c r="D378" s="2" t="s">
        <v>4909</v>
      </c>
      <c r="E378" s="2" t="s">
        <v>4910</v>
      </c>
      <c r="F378" s="2" t="s">
        <v>4911</v>
      </c>
      <c r="G378" s="2" t="s">
        <v>4912</v>
      </c>
      <c r="H378" s="2" t="s">
        <v>4913</v>
      </c>
      <c r="I378" s="2" t="s">
        <v>4914</v>
      </c>
      <c r="J378" s="2" t="s">
        <v>4915</v>
      </c>
      <c r="K378" s="3">
        <v>37786.71</v>
      </c>
      <c r="L378" s="3">
        <v>42432.85</v>
      </c>
      <c r="M378" s="3">
        <f>L378-K378</f>
      </c>
      <c r="N378" s="4">
        <f>IF(K378=0,0,M378/K378)</f>
      </c>
      <c r="O378" s="2" t="s">
        <v>4916</v>
      </c>
      <c r="P378" s="2" t="s">
        <v>4917</v>
      </c>
      <c r="Q378" s="2" t="s">
        <v>4918</v>
      </c>
      <c r="R378" s="2" t="s">
        <v>4919</v>
      </c>
      <c r="S378" s="2" t="s">
        <v>4920</v>
      </c>
    </row>
    <row customHeight="true" ht="15" r="379">
      <c r="A379" s="2">
        <v>2025</v>
      </c>
      <c r="B379" s="2">
        <v>2</v>
      </c>
      <c r="C379" s="2" t="s">
        <v>4921</v>
      </c>
      <c r="D379" s="2" t="s">
        <v>4922</v>
      </c>
      <c r="E379" s="2" t="s">
        <v>4923</v>
      </c>
      <c r="F379" s="2" t="s">
        <v>4924</v>
      </c>
      <c r="G379" s="2" t="s">
        <v>4925</v>
      </c>
      <c r="H379" s="2" t="s">
        <v>4926</v>
      </c>
      <c r="I379" s="2" t="s">
        <v>4927</v>
      </c>
      <c r="J379" s="2" t="s">
        <v>4928</v>
      </c>
      <c r="K379" s="3">
        <v>163578.46</v>
      </c>
      <c r="L379" s="3">
        <v>193974.86</v>
      </c>
      <c r="M379" s="3">
        <f>L379-K379</f>
      </c>
      <c r="N379" s="4">
        <f>IF(K379=0,0,M379/K379)</f>
      </c>
      <c r="O379" s="2" t="s">
        <v>4929</v>
      </c>
      <c r="P379" s="2" t="s">
        <v>4930</v>
      </c>
      <c r="Q379" s="2" t="s">
        <v>4931</v>
      </c>
      <c r="R379" s="2" t="s">
        <v>4932</v>
      </c>
      <c r="S379" s="2" t="s">
        <v>4933</v>
      </c>
    </row>
    <row customHeight="true" ht="15" r="380">
      <c r="A380" s="2">
        <v>2025</v>
      </c>
      <c r="B380" s="2">
        <v>2</v>
      </c>
      <c r="C380" s="2" t="s">
        <v>4934</v>
      </c>
      <c r="D380" s="2" t="s">
        <v>4935</v>
      </c>
      <c r="E380" s="2" t="s">
        <v>4936</v>
      </c>
      <c r="F380" s="2" t="s">
        <v>4937</v>
      </c>
      <c r="G380" s="2" t="s">
        <v>4938</v>
      </c>
      <c r="H380" s="2" t="s">
        <v>4939</v>
      </c>
      <c r="I380" s="2" t="s">
        <v>4940</v>
      </c>
      <c r="J380" s="2" t="s">
        <v>4941</v>
      </c>
      <c r="K380" s="3">
        <v>137414.18</v>
      </c>
      <c r="L380" s="3">
        <v>124001.69</v>
      </c>
      <c r="M380" s="3">
        <f>L380-K380</f>
      </c>
      <c r="N380" s="4">
        <f>IF(K380=0,0,M380/K380)</f>
      </c>
      <c r="O380" s="2" t="s">
        <v>4942</v>
      </c>
      <c r="P380" s="2" t="s">
        <v>4943</v>
      </c>
      <c r="Q380" s="2" t="s">
        <v>4944</v>
      </c>
      <c r="R380" s="2" t="s">
        <v>4945</v>
      </c>
      <c r="S380" s="2" t="s">
        <v>4946</v>
      </c>
    </row>
    <row customHeight="true" ht="15" r="381">
      <c r="A381" s="2">
        <v>2025</v>
      </c>
      <c r="B381" s="2">
        <v>2</v>
      </c>
      <c r="C381" s="2" t="s">
        <v>4947</v>
      </c>
      <c r="D381" s="2" t="s">
        <v>4948</v>
      </c>
      <c r="E381" s="2" t="s">
        <v>4949</v>
      </c>
      <c r="F381" s="2" t="s">
        <v>4950</v>
      </c>
      <c r="G381" s="2" t="s">
        <v>4951</v>
      </c>
      <c r="H381" s="2" t="s">
        <v>4952</v>
      </c>
      <c r="I381" s="2" t="s">
        <v>4953</v>
      </c>
      <c r="J381" s="2" t="s">
        <v>4954</v>
      </c>
      <c r="K381" s="3">
        <v>420567.11</v>
      </c>
      <c r="L381" s="3">
        <v>434780.82</v>
      </c>
      <c r="M381" s="3">
        <f>L381-K381</f>
      </c>
      <c r="N381" s="4">
        <f>IF(K381=0,0,M381/K381)</f>
      </c>
      <c r="O381" s="2" t="s">
        <v>4955</v>
      </c>
      <c r="P381" s="2" t="s">
        <v>4956</v>
      </c>
      <c r="Q381" s="2" t="s">
        <v>4957</v>
      </c>
      <c r="R381" s="2" t="s">
        <v>4958</v>
      </c>
      <c r="S381" s="2" t="s">
        <v>4959</v>
      </c>
    </row>
    <row customHeight="true" ht="15" r="382">
      <c r="A382" s="2">
        <v>2025</v>
      </c>
      <c r="B382" s="2">
        <v>2</v>
      </c>
      <c r="C382" s="2" t="s">
        <v>4960</v>
      </c>
      <c r="D382" s="2" t="s">
        <v>4961</v>
      </c>
      <c r="E382" s="2" t="s">
        <v>4962</v>
      </c>
      <c r="F382" s="2" t="s">
        <v>4963</v>
      </c>
      <c r="G382" s="2" t="s">
        <v>4964</v>
      </c>
      <c r="H382" s="2" t="s">
        <v>4965</v>
      </c>
      <c r="I382" s="2" t="s">
        <v>4966</v>
      </c>
      <c r="J382" s="2" t="s">
        <v>4967</v>
      </c>
      <c r="K382" s="3">
        <v>190905.4</v>
      </c>
      <c r="L382" s="3">
        <v>221621.09</v>
      </c>
      <c r="M382" s="3">
        <f>L382-K382</f>
      </c>
      <c r="N382" s="4">
        <f>IF(K382=0,0,M382/K382)</f>
      </c>
      <c r="O382" s="2" t="s">
        <v>4968</v>
      </c>
      <c r="P382" s="2" t="s">
        <v>4969</v>
      </c>
      <c r="Q382" s="2" t="s">
        <v>4970</v>
      </c>
      <c r="R382" s="2" t="s">
        <v>4971</v>
      </c>
      <c r="S382" s="2" t="s">
        <v>4972</v>
      </c>
    </row>
    <row customHeight="true" ht="15" r="383">
      <c r="A383" s="2">
        <v>2025</v>
      </c>
      <c r="B383" s="2">
        <v>2</v>
      </c>
      <c r="C383" s="2" t="s">
        <v>4973</v>
      </c>
      <c r="D383" s="2" t="s">
        <v>4974</v>
      </c>
      <c r="E383" s="2" t="s">
        <v>4975</v>
      </c>
      <c r="F383" s="2" t="s">
        <v>4976</v>
      </c>
      <c r="G383" s="2" t="s">
        <v>4977</v>
      </c>
      <c r="H383" s="2" t="s">
        <v>4978</v>
      </c>
      <c r="I383" s="2" t="s">
        <v>4979</v>
      </c>
      <c r="J383" s="2" t="s">
        <v>4980</v>
      </c>
      <c r="K383" s="3">
        <v>37954.99</v>
      </c>
      <c r="L383" s="3">
        <v>47091.91</v>
      </c>
      <c r="M383" s="3">
        <f>L383-K383</f>
      </c>
      <c r="N383" s="4">
        <f>IF(K383=0,0,M383/K383)</f>
      </c>
      <c r="O383" s="2" t="s">
        <v>4981</v>
      </c>
      <c r="P383" s="2" t="s">
        <v>4982</v>
      </c>
      <c r="Q383" s="2" t="s">
        <v>4983</v>
      </c>
      <c r="R383" s="2" t="s">
        <v>4984</v>
      </c>
      <c r="S383" s="2" t="s">
        <v>4985</v>
      </c>
    </row>
    <row customHeight="true" ht="15" r="384">
      <c r="A384" s="2">
        <v>2025</v>
      </c>
      <c r="B384" s="2">
        <v>2</v>
      </c>
      <c r="C384" s="2" t="s">
        <v>4986</v>
      </c>
      <c r="D384" s="2" t="s">
        <v>4987</v>
      </c>
      <c r="E384" s="2" t="s">
        <v>4988</v>
      </c>
      <c r="F384" s="2" t="s">
        <v>4989</v>
      </c>
      <c r="G384" s="2" t="s">
        <v>4990</v>
      </c>
      <c r="H384" s="2" t="s">
        <v>4991</v>
      </c>
      <c r="I384" s="2" t="s">
        <v>4992</v>
      </c>
      <c r="J384" s="2" t="s">
        <v>4993</v>
      </c>
      <c r="K384" s="3">
        <v>381817.6</v>
      </c>
      <c r="L384" s="3">
        <v>445518.29</v>
      </c>
      <c r="M384" s="3">
        <f>L384-K384</f>
      </c>
      <c r="N384" s="4">
        <f>IF(K384=0,0,M384/K384)</f>
      </c>
      <c r="O384" s="2" t="s">
        <v>4994</v>
      </c>
      <c r="P384" s="2" t="s">
        <v>4995</v>
      </c>
      <c r="Q384" s="2" t="s">
        <v>4996</v>
      </c>
      <c r="R384" s="2" t="s">
        <v>4997</v>
      </c>
      <c r="S384" s="2" t="s">
        <v>4998</v>
      </c>
    </row>
    <row customHeight="true" ht="15" r="385">
      <c r="A385" s="2">
        <v>2025</v>
      </c>
      <c r="B385" s="2">
        <v>2</v>
      </c>
      <c r="C385" s="2" t="s">
        <v>4999</v>
      </c>
      <c r="D385" s="2" t="s">
        <v>5000</v>
      </c>
      <c r="E385" s="2" t="s">
        <v>5001</v>
      </c>
      <c r="F385" s="2" t="s">
        <v>5002</v>
      </c>
      <c r="G385" s="2" t="s">
        <v>5003</v>
      </c>
      <c r="H385" s="2" t="s">
        <v>5004</v>
      </c>
      <c r="I385" s="2" t="s">
        <v>5005</v>
      </c>
      <c r="J385" s="2" t="s">
        <v>5006</v>
      </c>
      <c r="K385" s="3">
        <v>32948.39</v>
      </c>
      <c r="L385" s="3">
        <v>31497.4</v>
      </c>
      <c r="M385" s="3">
        <f>L385-K385</f>
      </c>
      <c r="N385" s="4">
        <f>IF(K385=0,0,M385/K385)</f>
      </c>
      <c r="O385" s="2" t="s">
        <v>5007</v>
      </c>
      <c r="P385" s="2" t="s">
        <v>5008</v>
      </c>
      <c r="Q385" s="2" t="s">
        <v>5009</v>
      </c>
      <c r="R385" s="2" t="s">
        <v>5010</v>
      </c>
      <c r="S385" s="2" t="s">
        <v>5011</v>
      </c>
    </row>
    <row customHeight="true" ht="15" r="386">
      <c r="A386" s="2">
        <v>2025</v>
      </c>
      <c r="B386" s="2">
        <v>2</v>
      </c>
      <c r="C386" s="2" t="s">
        <v>5012</v>
      </c>
      <c r="D386" s="2" t="s">
        <v>5013</v>
      </c>
      <c r="E386" s="2" t="s">
        <v>5014</v>
      </c>
      <c r="F386" s="2" t="s">
        <v>5015</v>
      </c>
      <c r="G386" s="2" t="s">
        <v>5016</v>
      </c>
      <c r="H386" s="2" t="s">
        <v>5017</v>
      </c>
      <c r="I386" s="2" t="s">
        <v>5018</v>
      </c>
      <c r="J386" s="2" t="s">
        <v>5019</v>
      </c>
      <c r="K386" s="3">
        <v>400532.7</v>
      </c>
      <c r="L386" s="3">
        <v>329118.05</v>
      </c>
      <c r="M386" s="3">
        <f>L386-K386</f>
      </c>
      <c r="N386" s="4">
        <f>IF(K386=0,0,M386/K386)</f>
      </c>
      <c r="O386" s="2" t="s">
        <v>5020</v>
      </c>
      <c r="P386" s="2" t="s">
        <v>5021</v>
      </c>
      <c r="Q386" s="2" t="s">
        <v>5022</v>
      </c>
      <c r="R386" s="2" t="s">
        <v>5023</v>
      </c>
      <c r="S386" s="2" t="s">
        <v>5024</v>
      </c>
    </row>
    <row customHeight="true" ht="15" r="387">
      <c r="A387" s="2">
        <v>2025</v>
      </c>
      <c r="B387" s="2">
        <v>2</v>
      </c>
      <c r="C387" s="2" t="s">
        <v>5025</v>
      </c>
      <c r="D387" s="2" t="s">
        <v>5026</v>
      </c>
      <c r="E387" s="2" t="s">
        <v>5027</v>
      </c>
      <c r="F387" s="2" t="s">
        <v>5028</v>
      </c>
      <c r="G387" s="2" t="s">
        <v>5029</v>
      </c>
      <c r="H387" s="2" t="s">
        <v>5030</v>
      </c>
      <c r="I387" s="2" t="s">
        <v>5031</v>
      </c>
      <c r="J387" s="2" t="s">
        <v>5032</v>
      </c>
      <c r="K387" s="3">
        <v>108200.82</v>
      </c>
      <c r="L387" s="3">
        <v>117650.28</v>
      </c>
      <c r="M387" s="3">
        <f>L387-K387</f>
      </c>
      <c r="N387" s="4">
        <f>IF(K387=0,0,M387/K387)</f>
      </c>
      <c r="O387" s="2" t="s">
        <v>5033</v>
      </c>
      <c r="P387" s="2" t="s">
        <v>5034</v>
      </c>
      <c r="Q387" s="2" t="s">
        <v>5035</v>
      </c>
      <c r="R387" s="2" t="s">
        <v>5036</v>
      </c>
      <c r="S387" s="2" t="s">
        <v>5037</v>
      </c>
    </row>
    <row customHeight="true" ht="15" r="388">
      <c r="A388" s="2">
        <v>2025</v>
      </c>
      <c r="B388" s="2">
        <v>2</v>
      </c>
      <c r="C388" s="2" t="s">
        <v>5038</v>
      </c>
      <c r="D388" s="2" t="s">
        <v>5039</v>
      </c>
      <c r="E388" s="2" t="s">
        <v>5040</v>
      </c>
      <c r="F388" s="2" t="s">
        <v>5041</v>
      </c>
      <c r="G388" s="2" t="s">
        <v>5042</v>
      </c>
      <c r="H388" s="2" t="s">
        <v>5043</v>
      </c>
      <c r="I388" s="2" t="s">
        <v>5044</v>
      </c>
      <c r="J388" s="2" t="s">
        <v>5045</v>
      </c>
      <c r="K388" s="3">
        <v>130864.06</v>
      </c>
      <c r="L388" s="3">
        <v>130464.04</v>
      </c>
      <c r="M388" s="3">
        <f>L388-K388</f>
      </c>
      <c r="N388" s="4">
        <f>IF(K388=0,0,M388/K388)</f>
      </c>
      <c r="O388" s="2" t="s">
        <v>5046</v>
      </c>
      <c r="P388" s="2" t="s">
        <v>5047</v>
      </c>
      <c r="Q388" s="2" t="s">
        <v>5048</v>
      </c>
      <c r="R388" s="2" t="s">
        <v>5049</v>
      </c>
      <c r="S388" s="2" t="s">
        <v>5050</v>
      </c>
    </row>
    <row customHeight="true" ht="15" r="389">
      <c r="A389" s="2">
        <v>2025</v>
      </c>
      <c r="B389" s="2">
        <v>2</v>
      </c>
      <c r="C389" s="2" t="s">
        <v>5051</v>
      </c>
      <c r="D389" s="2" t="s">
        <v>5052</v>
      </c>
      <c r="E389" s="2" t="s">
        <v>5053</v>
      </c>
      <c r="F389" s="2" t="s">
        <v>5054</v>
      </c>
      <c r="G389" s="2" t="s">
        <v>5055</v>
      </c>
      <c r="H389" s="2" t="s">
        <v>5056</v>
      </c>
      <c r="I389" s="2" t="s">
        <v>5057</v>
      </c>
      <c r="J389" s="2" t="s">
        <v>5058</v>
      </c>
      <c r="K389" s="3">
        <v>180036.74</v>
      </c>
      <c r="L389" s="3">
        <v>205524.38</v>
      </c>
      <c r="M389" s="3">
        <f>L389-K389</f>
      </c>
      <c r="N389" s="4">
        <f>IF(K389=0,0,M389/K389)</f>
      </c>
      <c r="O389" s="2" t="s">
        <v>5059</v>
      </c>
      <c r="P389" s="2" t="s">
        <v>5060</v>
      </c>
      <c r="Q389" s="2" t="s">
        <v>5061</v>
      </c>
      <c r="R389" s="2" t="s">
        <v>5062</v>
      </c>
      <c r="S389" s="2" t="s">
        <v>5063</v>
      </c>
    </row>
    <row customHeight="true" ht="15" r="390">
      <c r="A390" s="2">
        <v>2025</v>
      </c>
      <c r="B390" s="2">
        <v>2</v>
      </c>
      <c r="C390" s="2" t="s">
        <v>5064</v>
      </c>
      <c r="D390" s="2" t="s">
        <v>5065</v>
      </c>
      <c r="E390" s="2" t="s">
        <v>5066</v>
      </c>
      <c r="F390" s="2" t="s">
        <v>5067</v>
      </c>
      <c r="G390" s="2" t="s">
        <v>5068</v>
      </c>
      <c r="H390" s="2" t="s">
        <v>5069</v>
      </c>
      <c r="I390" s="2" t="s">
        <v>5070</v>
      </c>
      <c r="J390" s="2" t="s">
        <v>5071</v>
      </c>
      <c r="K390" s="3">
        <v>46507.86</v>
      </c>
      <c r="L390" s="3">
        <v>43221.07</v>
      </c>
      <c r="M390" s="3">
        <f>L390-K390</f>
      </c>
      <c r="N390" s="4">
        <f>IF(K390=0,0,M390/K390)</f>
      </c>
      <c r="O390" s="2" t="s">
        <v>5072</v>
      </c>
      <c r="P390" s="2" t="s">
        <v>5073</v>
      </c>
      <c r="Q390" s="2" t="s">
        <v>5074</v>
      </c>
      <c r="R390" s="2" t="s">
        <v>5075</v>
      </c>
      <c r="S390" s="2" t="s">
        <v>5076</v>
      </c>
    </row>
    <row customHeight="true" ht="15" r="391">
      <c r="A391" s="2">
        <v>2025</v>
      </c>
      <c r="B391" s="2">
        <v>2</v>
      </c>
      <c r="C391" s="2" t="s">
        <v>5077</v>
      </c>
      <c r="D391" s="2" t="s">
        <v>5078</v>
      </c>
      <c r="E391" s="2" t="s">
        <v>5079</v>
      </c>
      <c r="F391" s="2" t="s">
        <v>5080</v>
      </c>
      <c r="G391" s="2" t="s">
        <v>5081</v>
      </c>
      <c r="H391" s="2" t="s">
        <v>5082</v>
      </c>
      <c r="I391" s="2" t="s">
        <v>5083</v>
      </c>
      <c r="J391" s="2" t="s">
        <v>5084</v>
      </c>
      <c r="K391" s="3">
        <v>269681.93</v>
      </c>
      <c r="L391" s="3">
        <v>296303.34</v>
      </c>
      <c r="M391" s="3">
        <f>L391-K391</f>
      </c>
      <c r="N391" s="4">
        <f>IF(K391=0,0,M391/K391)</f>
      </c>
      <c r="O391" s="2" t="s">
        <v>5085</v>
      </c>
      <c r="P391" s="2" t="s">
        <v>5086</v>
      </c>
      <c r="Q391" s="2" t="s">
        <v>5087</v>
      </c>
      <c r="R391" s="2" t="s">
        <v>5088</v>
      </c>
      <c r="S391" s="2" t="s">
        <v>5089</v>
      </c>
    </row>
    <row customHeight="true" ht="15" r="392">
      <c r="A392" s="2">
        <v>2025</v>
      </c>
      <c r="B392" s="2">
        <v>3</v>
      </c>
      <c r="C392" s="2" t="s">
        <v>5090</v>
      </c>
      <c r="D392" s="2" t="s">
        <v>5091</v>
      </c>
      <c r="E392" s="2" t="s">
        <v>5092</v>
      </c>
      <c r="F392" s="2" t="s">
        <v>5093</v>
      </c>
      <c r="G392" s="2" t="s">
        <v>5094</v>
      </c>
      <c r="H392" s="2" t="s">
        <v>5095</v>
      </c>
      <c r="I392" s="2" t="s">
        <v>5096</v>
      </c>
      <c r="J392" s="2" t="s">
        <v>5097</v>
      </c>
      <c r="K392" s="3">
        <v>28738.65</v>
      </c>
      <c r="L392" s="3">
        <v>25799.37</v>
      </c>
      <c r="M392" s="3">
        <f>L392-K392</f>
      </c>
      <c r="N392" s="4">
        <f>IF(K392=0,0,M392/K392)</f>
      </c>
      <c r="O392" s="2" t="s">
        <v>5098</v>
      </c>
      <c r="P392" s="2" t="s">
        <v>5099</v>
      </c>
      <c r="Q392" s="2" t="s">
        <v>5100</v>
      </c>
      <c r="R392" s="2" t="s">
        <v>5101</v>
      </c>
      <c r="S392" s="2" t="s">
        <v>5102</v>
      </c>
    </row>
    <row customHeight="true" ht="15" r="393">
      <c r="A393" s="2">
        <v>2025</v>
      </c>
      <c r="B393" s="2">
        <v>3</v>
      </c>
      <c r="C393" s="2" t="s">
        <v>5103</v>
      </c>
      <c r="D393" s="2" t="s">
        <v>5104</v>
      </c>
      <c r="E393" s="2" t="s">
        <v>5105</v>
      </c>
      <c r="F393" s="2" t="s">
        <v>5106</v>
      </c>
      <c r="G393" s="2" t="s">
        <v>5107</v>
      </c>
      <c r="H393" s="2" t="s">
        <v>5108</v>
      </c>
      <c r="I393" s="2" t="s">
        <v>5109</v>
      </c>
      <c r="J393" s="2" t="s">
        <v>5110</v>
      </c>
      <c r="K393" s="3">
        <v>134750.47</v>
      </c>
      <c r="L393" s="3">
        <v>150279.03</v>
      </c>
      <c r="M393" s="3">
        <f>L393-K393</f>
      </c>
      <c r="N393" s="4">
        <f>IF(K393=0,0,M393/K393)</f>
      </c>
      <c r="O393" s="2" t="s">
        <v>5111</v>
      </c>
      <c r="P393" s="2" t="s">
        <v>5112</v>
      </c>
      <c r="Q393" s="2" t="s">
        <v>5113</v>
      </c>
      <c r="R393" s="2" t="s">
        <v>5114</v>
      </c>
      <c r="S393" s="2" t="s">
        <v>5115</v>
      </c>
    </row>
    <row customHeight="true" ht="15" r="394">
      <c r="A394" s="2">
        <v>2025</v>
      </c>
      <c r="B394" s="2">
        <v>3</v>
      </c>
      <c r="C394" s="2" t="s">
        <v>5116</v>
      </c>
      <c r="D394" s="2" t="s">
        <v>5117</v>
      </c>
      <c r="E394" s="2" t="s">
        <v>5118</v>
      </c>
      <c r="F394" s="2" t="s">
        <v>5119</v>
      </c>
      <c r="G394" s="2" t="s">
        <v>5120</v>
      </c>
      <c r="H394" s="2" t="s">
        <v>5121</v>
      </c>
      <c r="I394" s="2" t="s">
        <v>5122</v>
      </c>
      <c r="J394" s="2" t="s">
        <v>5123</v>
      </c>
      <c r="K394" s="3">
        <v>93575.11</v>
      </c>
      <c r="L394" s="3">
        <v>92075.29</v>
      </c>
      <c r="M394" s="3">
        <f>L394-K394</f>
      </c>
      <c r="N394" s="4">
        <f>IF(K394=0,0,M394/K394)</f>
      </c>
      <c r="O394" s="2" t="s">
        <v>5124</v>
      </c>
      <c r="P394" s="2" t="s">
        <v>5125</v>
      </c>
      <c r="Q394" s="2" t="s">
        <v>5126</v>
      </c>
      <c r="R394" s="2" t="s">
        <v>5127</v>
      </c>
      <c r="S394" s="2" t="s">
        <v>5128</v>
      </c>
    </row>
    <row customHeight="true" ht="15" r="395">
      <c r="A395" s="2">
        <v>2025</v>
      </c>
      <c r="B395" s="2">
        <v>3</v>
      </c>
      <c r="C395" s="2" t="s">
        <v>5129</v>
      </c>
      <c r="D395" s="2" t="s">
        <v>5130</v>
      </c>
      <c r="E395" s="2" t="s">
        <v>5131</v>
      </c>
      <c r="F395" s="2" t="s">
        <v>5132</v>
      </c>
      <c r="G395" s="2" t="s">
        <v>5133</v>
      </c>
      <c r="H395" s="2" t="s">
        <v>5134</v>
      </c>
      <c r="I395" s="2" t="s">
        <v>5135</v>
      </c>
      <c r="J395" s="2" t="s">
        <v>5136</v>
      </c>
      <c r="K395" s="3">
        <v>79922.63</v>
      </c>
      <c r="L395" s="3">
        <v>93355.86</v>
      </c>
      <c r="M395" s="3">
        <f>L395-K395</f>
      </c>
      <c r="N395" s="4">
        <f>IF(K395=0,0,M395/K395)</f>
      </c>
      <c r="O395" s="2" t="s">
        <v>5137</v>
      </c>
      <c r="P395" s="2" t="s">
        <v>5138</v>
      </c>
      <c r="Q395" s="2" t="s">
        <v>5139</v>
      </c>
      <c r="R395" s="2" t="s">
        <v>5140</v>
      </c>
      <c r="S395" s="2" t="s">
        <v>5141</v>
      </c>
    </row>
    <row customHeight="true" ht="15" r="396">
      <c r="A396" s="2">
        <v>2025</v>
      </c>
      <c r="B396" s="2">
        <v>3</v>
      </c>
      <c r="C396" s="2" t="s">
        <v>5142</v>
      </c>
      <c r="D396" s="2" t="s">
        <v>5143</v>
      </c>
      <c r="E396" s="2" t="s">
        <v>5144</v>
      </c>
      <c r="F396" s="2" t="s">
        <v>5145</v>
      </c>
      <c r="G396" s="2" t="s">
        <v>5146</v>
      </c>
      <c r="H396" s="2" t="s">
        <v>5147</v>
      </c>
      <c r="I396" s="2" t="s">
        <v>5148</v>
      </c>
      <c r="J396" s="2" t="s">
        <v>5149</v>
      </c>
      <c r="K396" s="3">
        <v>118777.3</v>
      </c>
      <c r="L396" s="3">
        <v>131911.84</v>
      </c>
      <c r="M396" s="3">
        <f>L396-K396</f>
      </c>
      <c r="N396" s="4">
        <f>IF(K396=0,0,M396/K396)</f>
      </c>
      <c r="O396" s="2" t="s">
        <v>5150</v>
      </c>
      <c r="P396" s="2" t="s">
        <v>5151</v>
      </c>
      <c r="Q396" s="2" t="s">
        <v>5152</v>
      </c>
      <c r="R396" s="2" t="s">
        <v>5153</v>
      </c>
      <c r="S396" s="2" t="s">
        <v>5154</v>
      </c>
    </row>
    <row customHeight="true" ht="15" r="397">
      <c r="A397" s="2">
        <v>2025</v>
      </c>
      <c r="B397" s="2">
        <v>3</v>
      </c>
      <c r="C397" s="2" t="s">
        <v>5155</v>
      </c>
      <c r="D397" s="2" t="s">
        <v>5156</v>
      </c>
      <c r="E397" s="2" t="s">
        <v>5157</v>
      </c>
      <c r="F397" s="2" t="s">
        <v>5158</v>
      </c>
      <c r="G397" s="2" t="s">
        <v>5159</v>
      </c>
      <c r="H397" s="2" t="s">
        <v>5160</v>
      </c>
      <c r="I397" s="2" t="s">
        <v>5161</v>
      </c>
      <c r="J397" s="2" t="s">
        <v>5162</v>
      </c>
      <c r="K397" s="3">
        <v>472332.91</v>
      </c>
      <c r="L397" s="3">
        <v>536573.58</v>
      </c>
      <c r="M397" s="3">
        <f>L397-K397</f>
      </c>
      <c r="N397" s="4">
        <f>IF(K397=0,0,M397/K397)</f>
      </c>
      <c r="O397" s="2" t="s">
        <v>5163</v>
      </c>
      <c r="P397" s="2" t="s">
        <v>5164</v>
      </c>
      <c r="Q397" s="2" t="s">
        <v>5165</v>
      </c>
      <c r="R397" s="2" t="s">
        <v>5166</v>
      </c>
      <c r="S397" s="2" t="s">
        <v>5167</v>
      </c>
    </row>
    <row customHeight="true" ht="15" r="398">
      <c r="A398" s="2">
        <v>2025</v>
      </c>
      <c r="B398" s="2">
        <v>3</v>
      </c>
      <c r="C398" s="2" t="s">
        <v>5168</v>
      </c>
      <c r="D398" s="2" t="s">
        <v>5169</v>
      </c>
      <c r="E398" s="2" t="s">
        <v>5170</v>
      </c>
      <c r="F398" s="2" t="s">
        <v>5171</v>
      </c>
      <c r="G398" s="2" t="s">
        <v>5172</v>
      </c>
      <c r="H398" s="2" t="s">
        <v>5173</v>
      </c>
      <c r="I398" s="2" t="s">
        <v>5174</v>
      </c>
      <c r="J398" s="2" t="s">
        <v>5175</v>
      </c>
      <c r="K398" s="3">
        <v>200535.2</v>
      </c>
      <c r="L398" s="3">
        <v>198844.74</v>
      </c>
      <c r="M398" s="3">
        <f>L398-K398</f>
      </c>
      <c r="N398" s="4">
        <f>IF(K398=0,0,M398/K398)</f>
      </c>
      <c r="O398" s="2" t="s">
        <v>5176</v>
      </c>
      <c r="P398" s="2" t="s">
        <v>5177</v>
      </c>
      <c r="Q398" s="2" t="s">
        <v>5178</v>
      </c>
      <c r="R398" s="2" t="s">
        <v>5179</v>
      </c>
      <c r="S398" s="2" t="s">
        <v>5180</v>
      </c>
    </row>
    <row customHeight="true" ht="15" r="399">
      <c r="A399" s="2">
        <v>2025</v>
      </c>
      <c r="B399" s="2">
        <v>3</v>
      </c>
      <c r="C399" s="2" t="s">
        <v>5181</v>
      </c>
      <c r="D399" s="2" t="s">
        <v>5182</v>
      </c>
      <c r="E399" s="2" t="s">
        <v>5183</v>
      </c>
      <c r="F399" s="2" t="s">
        <v>5184</v>
      </c>
      <c r="G399" s="2" t="s">
        <v>5185</v>
      </c>
      <c r="H399" s="2" t="s">
        <v>5186</v>
      </c>
      <c r="I399" s="2" t="s">
        <v>5187</v>
      </c>
      <c r="J399" s="2" t="s">
        <v>5188</v>
      </c>
      <c r="K399" s="3">
        <v>182204</v>
      </c>
      <c r="L399" s="3">
        <v>156968.38</v>
      </c>
      <c r="M399" s="3">
        <f>L399-K399</f>
      </c>
      <c r="N399" s="4">
        <f>IF(K399=0,0,M399/K399)</f>
      </c>
      <c r="O399" s="2" t="s">
        <v>5189</v>
      </c>
      <c r="P399" s="2" t="s">
        <v>5190</v>
      </c>
      <c r="Q399" s="2" t="s">
        <v>5191</v>
      </c>
      <c r="R399" s="2" t="s">
        <v>5192</v>
      </c>
      <c r="S399" s="2" t="s">
        <v>5193</v>
      </c>
    </row>
    <row customHeight="true" ht="15" r="400">
      <c r="A400" s="2">
        <v>2025</v>
      </c>
      <c r="B400" s="2">
        <v>3</v>
      </c>
      <c r="C400" s="2" t="s">
        <v>5194</v>
      </c>
      <c r="D400" s="2" t="s">
        <v>5195</v>
      </c>
      <c r="E400" s="2" t="s">
        <v>5196</v>
      </c>
      <c r="F400" s="2" t="s">
        <v>5197</v>
      </c>
      <c r="G400" s="2" t="s">
        <v>5198</v>
      </c>
      <c r="H400" s="2" t="s">
        <v>5199</v>
      </c>
      <c r="I400" s="2" t="s">
        <v>5200</v>
      </c>
      <c r="J400" s="2" t="s">
        <v>5201</v>
      </c>
      <c r="K400" s="3">
        <v>31015.26</v>
      </c>
      <c r="L400" s="3">
        <v>33406.36</v>
      </c>
      <c r="M400" s="3">
        <f>L400-K400</f>
      </c>
      <c r="N400" s="4">
        <f>IF(K400=0,0,M400/K400)</f>
      </c>
      <c r="O400" s="2" t="s">
        <v>5202</v>
      </c>
      <c r="P400" s="2" t="s">
        <v>5203</v>
      </c>
      <c r="Q400" s="2" t="s">
        <v>5204</v>
      </c>
      <c r="R400" s="2" t="s">
        <v>5205</v>
      </c>
      <c r="S400" s="2" t="s">
        <v>5206</v>
      </c>
    </row>
    <row customHeight="true" ht="15" r="401">
      <c r="A401" s="2">
        <v>2025</v>
      </c>
      <c r="B401" s="2">
        <v>3</v>
      </c>
      <c r="C401" s="2" t="s">
        <v>5207</v>
      </c>
      <c r="D401" s="2" t="s">
        <v>5208</v>
      </c>
      <c r="E401" s="2" t="s">
        <v>5209</v>
      </c>
      <c r="F401" s="2" t="s">
        <v>5210</v>
      </c>
      <c r="G401" s="2" t="s">
        <v>5211</v>
      </c>
      <c r="H401" s="2" t="s">
        <v>5212</v>
      </c>
      <c r="I401" s="2" t="s">
        <v>5213</v>
      </c>
      <c r="J401" s="2" t="s">
        <v>5214</v>
      </c>
      <c r="K401" s="3">
        <v>133330.13</v>
      </c>
      <c r="L401" s="3">
        <v>114838.92</v>
      </c>
      <c r="M401" s="3">
        <f>L401-K401</f>
      </c>
      <c r="N401" s="4">
        <f>IF(K401=0,0,M401/K401)</f>
      </c>
      <c r="O401" s="2" t="s">
        <v>5215</v>
      </c>
      <c r="P401" s="2" t="s">
        <v>5216</v>
      </c>
      <c r="Q401" s="2" t="s">
        <v>5217</v>
      </c>
      <c r="R401" s="2" t="s">
        <v>5218</v>
      </c>
      <c r="S401" s="2" t="s">
        <v>5219</v>
      </c>
    </row>
    <row customHeight="true" ht="15" r="402">
      <c r="A402" s="2">
        <v>2025</v>
      </c>
      <c r="B402" s="2">
        <v>3</v>
      </c>
      <c r="C402" s="2" t="s">
        <v>5220</v>
      </c>
      <c r="D402" s="2" t="s">
        <v>5221</v>
      </c>
      <c r="E402" s="2" t="s">
        <v>5222</v>
      </c>
      <c r="F402" s="2" t="s">
        <v>5223</v>
      </c>
      <c r="G402" s="2" t="s">
        <v>5224</v>
      </c>
      <c r="H402" s="2" t="s">
        <v>5225</v>
      </c>
      <c r="I402" s="2" t="s">
        <v>5226</v>
      </c>
      <c r="J402" s="2" t="s">
        <v>5227</v>
      </c>
      <c r="K402" s="3">
        <v>199146.62</v>
      </c>
      <c r="L402" s="3">
        <v>248145.76</v>
      </c>
      <c r="M402" s="3">
        <f>L402-K402</f>
      </c>
      <c r="N402" s="4">
        <f>IF(K402=0,0,M402/K402)</f>
      </c>
      <c r="O402" s="2" t="s">
        <v>5228</v>
      </c>
      <c r="P402" s="2" t="s">
        <v>5229</v>
      </c>
      <c r="Q402" s="2" t="s">
        <v>5230</v>
      </c>
      <c r="R402" s="2" t="s">
        <v>5231</v>
      </c>
      <c r="S402" s="2" t="s">
        <v>5232</v>
      </c>
    </row>
    <row customHeight="true" ht="15" r="403">
      <c r="A403" s="2">
        <v>2025</v>
      </c>
      <c r="B403" s="2">
        <v>3</v>
      </c>
      <c r="C403" s="2" t="s">
        <v>5233</v>
      </c>
      <c r="D403" s="2" t="s">
        <v>5234</v>
      </c>
      <c r="E403" s="2" t="s">
        <v>5235</v>
      </c>
      <c r="F403" s="2" t="s">
        <v>5236</v>
      </c>
      <c r="G403" s="2" t="s">
        <v>5237</v>
      </c>
      <c r="H403" s="2" t="s">
        <v>5238</v>
      </c>
      <c r="I403" s="2" t="s">
        <v>5239</v>
      </c>
      <c r="J403" s="2" t="s">
        <v>5240</v>
      </c>
      <c r="K403" s="3">
        <v>128258.9</v>
      </c>
      <c r="L403" s="3">
        <v>137059.91</v>
      </c>
      <c r="M403" s="3">
        <f>L403-K403</f>
      </c>
      <c r="N403" s="4">
        <f>IF(K403=0,0,M403/K403)</f>
      </c>
      <c r="O403" s="2" t="s">
        <v>5241</v>
      </c>
      <c r="P403" s="2" t="s">
        <v>5242</v>
      </c>
      <c r="Q403" s="2" t="s">
        <v>5243</v>
      </c>
      <c r="R403" s="2" t="s">
        <v>5244</v>
      </c>
      <c r="S403" s="2" t="s">
        <v>5245</v>
      </c>
    </row>
    <row customHeight="true" ht="15" r="404">
      <c r="A404" s="2">
        <v>2025</v>
      </c>
      <c r="B404" s="2">
        <v>3</v>
      </c>
      <c r="C404" s="2" t="s">
        <v>5246</v>
      </c>
      <c r="D404" s="2" t="s">
        <v>5247</v>
      </c>
      <c r="E404" s="2" t="s">
        <v>5248</v>
      </c>
      <c r="F404" s="2" t="s">
        <v>5249</v>
      </c>
      <c r="G404" s="2" t="s">
        <v>5250</v>
      </c>
      <c r="H404" s="2" t="s">
        <v>5251</v>
      </c>
      <c r="I404" s="2" t="s">
        <v>5252</v>
      </c>
      <c r="J404" s="2" t="s">
        <v>5253</v>
      </c>
      <c r="K404" s="3">
        <v>375747.46</v>
      </c>
      <c r="L404" s="3">
        <v>355770.52</v>
      </c>
      <c r="M404" s="3">
        <f>L404-K404</f>
      </c>
      <c r="N404" s="4">
        <f>IF(K404=0,0,M404/K404)</f>
      </c>
      <c r="O404" s="2" t="s">
        <v>5254</v>
      </c>
      <c r="P404" s="2" t="s">
        <v>5255</v>
      </c>
      <c r="Q404" s="2" t="s">
        <v>5256</v>
      </c>
      <c r="R404" s="2" t="s">
        <v>5257</v>
      </c>
      <c r="S404" s="2" t="s">
        <v>5258</v>
      </c>
    </row>
    <row customHeight="true" ht="15" r="405">
      <c r="A405" s="2">
        <v>2025</v>
      </c>
      <c r="B405" s="2">
        <v>3</v>
      </c>
      <c r="C405" s="2" t="s">
        <v>5259</v>
      </c>
      <c r="D405" s="2" t="s">
        <v>5260</v>
      </c>
      <c r="E405" s="2" t="s">
        <v>5261</v>
      </c>
      <c r="F405" s="2" t="s">
        <v>5262</v>
      </c>
      <c r="G405" s="2" t="s">
        <v>5263</v>
      </c>
      <c r="H405" s="2" t="s">
        <v>5264</v>
      </c>
      <c r="I405" s="2" t="s">
        <v>5265</v>
      </c>
      <c r="J405" s="2" t="s">
        <v>5266</v>
      </c>
      <c r="K405" s="3">
        <v>58233.89</v>
      </c>
      <c r="L405" s="3">
        <v>57624.6</v>
      </c>
      <c r="M405" s="3">
        <f>L405-K405</f>
      </c>
      <c r="N405" s="4">
        <f>IF(K405=0,0,M405/K405)</f>
      </c>
      <c r="O405" s="2" t="s">
        <v>5267</v>
      </c>
      <c r="P405" s="2" t="s">
        <v>5268</v>
      </c>
      <c r="Q405" s="2" t="s">
        <v>5269</v>
      </c>
      <c r="R405" s="2" t="s">
        <v>5270</v>
      </c>
      <c r="S405" s="2" t="s">
        <v>5271</v>
      </c>
    </row>
    <row customHeight="true" ht="15" r="406">
      <c r="A406" s="2">
        <v>2025</v>
      </c>
      <c r="B406" s="2">
        <v>3</v>
      </c>
      <c r="C406" s="2" t="s">
        <v>5272</v>
      </c>
      <c r="D406" s="2" t="s">
        <v>5273</v>
      </c>
      <c r="E406" s="2" t="s">
        <v>5274</v>
      </c>
      <c r="F406" s="2" t="s">
        <v>5275</v>
      </c>
      <c r="G406" s="2" t="s">
        <v>5276</v>
      </c>
      <c r="H406" s="2" t="s">
        <v>5277</v>
      </c>
      <c r="I406" s="2" t="s">
        <v>5278</v>
      </c>
      <c r="J406" s="2" t="s">
        <v>5279</v>
      </c>
      <c r="K406" s="3">
        <v>106236.02</v>
      </c>
      <c r="L406" s="3">
        <v>85278.84</v>
      </c>
      <c r="M406" s="3">
        <f>L406-K406</f>
      </c>
      <c r="N406" s="4">
        <f>IF(K406=0,0,M406/K406)</f>
      </c>
      <c r="O406" s="2" t="s">
        <v>5280</v>
      </c>
      <c r="P406" s="2" t="s">
        <v>5281</v>
      </c>
      <c r="Q406" s="2" t="s">
        <v>5282</v>
      </c>
      <c r="R406" s="2" t="s">
        <v>5283</v>
      </c>
      <c r="S406" s="2" t="s">
        <v>5284</v>
      </c>
    </row>
    <row customHeight="true" ht="15" r="407">
      <c r="A407" s="2">
        <v>2025</v>
      </c>
      <c r="B407" s="2">
        <v>4</v>
      </c>
      <c r="C407" s="2" t="s">
        <v>5285</v>
      </c>
      <c r="D407" s="2" t="s">
        <v>5286</v>
      </c>
      <c r="E407" s="2" t="s">
        <v>5287</v>
      </c>
      <c r="F407" s="2" t="s">
        <v>5288</v>
      </c>
      <c r="G407" s="2" t="s">
        <v>5289</v>
      </c>
      <c r="H407" s="2" t="s">
        <v>5290</v>
      </c>
      <c r="I407" s="2" t="s">
        <v>5291</v>
      </c>
      <c r="J407" s="2" t="s">
        <v>5292</v>
      </c>
      <c r="K407" s="3">
        <v>40897.25</v>
      </c>
      <c r="L407" s="3">
        <v>46162.06</v>
      </c>
      <c r="M407" s="3">
        <f>L407-K407</f>
      </c>
      <c r="N407" s="4">
        <f>IF(K407=0,0,M407/K407)</f>
      </c>
      <c r="O407" s="2" t="s">
        <v>5293</v>
      </c>
      <c r="P407" s="2" t="s">
        <v>5294</v>
      </c>
      <c r="Q407" s="2" t="s">
        <v>5295</v>
      </c>
      <c r="R407" s="2" t="s">
        <v>5296</v>
      </c>
      <c r="S407" s="2" t="s">
        <v>5297</v>
      </c>
    </row>
    <row customHeight="true" ht="15" r="408">
      <c r="A408" s="2">
        <v>2025</v>
      </c>
      <c r="B408" s="2">
        <v>4</v>
      </c>
      <c r="C408" s="2" t="s">
        <v>5298</v>
      </c>
      <c r="D408" s="2" t="s">
        <v>5299</v>
      </c>
      <c r="E408" s="2" t="s">
        <v>5300</v>
      </c>
      <c r="F408" s="2" t="s">
        <v>5301</v>
      </c>
      <c r="G408" s="2" t="s">
        <v>5302</v>
      </c>
      <c r="H408" s="2" t="s">
        <v>5303</v>
      </c>
      <c r="I408" s="2" t="s">
        <v>5304</v>
      </c>
      <c r="J408" s="2" t="s">
        <v>5305</v>
      </c>
      <c r="K408" s="3">
        <v>155602.7</v>
      </c>
      <c r="L408" s="3">
        <v>185803.69</v>
      </c>
      <c r="M408" s="3">
        <f>L408-K408</f>
      </c>
      <c r="N408" s="4">
        <f>IF(K408=0,0,M408/K408)</f>
      </c>
      <c r="O408" s="2" t="s">
        <v>5306</v>
      </c>
      <c r="P408" s="2" t="s">
        <v>5307</v>
      </c>
      <c r="Q408" s="2" t="s">
        <v>5308</v>
      </c>
      <c r="R408" s="2" t="s">
        <v>5309</v>
      </c>
      <c r="S408" s="2" t="s">
        <v>5310</v>
      </c>
    </row>
    <row customHeight="true" ht="15" r="409">
      <c r="A409" s="2">
        <v>2025</v>
      </c>
      <c r="B409" s="2">
        <v>4</v>
      </c>
      <c r="C409" s="2" t="s">
        <v>5311</v>
      </c>
      <c r="D409" s="2" t="s">
        <v>5312</v>
      </c>
      <c r="E409" s="2" t="s">
        <v>5313</v>
      </c>
      <c r="F409" s="2" t="s">
        <v>5314</v>
      </c>
      <c r="G409" s="2" t="s">
        <v>5315</v>
      </c>
      <c r="H409" s="2" t="s">
        <v>5316</v>
      </c>
      <c r="I409" s="2" t="s">
        <v>5317</v>
      </c>
      <c r="J409" s="2" t="s">
        <v>5318</v>
      </c>
      <c r="K409" s="3">
        <v>124608.39</v>
      </c>
      <c r="L409" s="3">
        <v>154762.15</v>
      </c>
      <c r="M409" s="3">
        <f>L409-K409</f>
      </c>
      <c r="N409" s="4">
        <f>IF(K409=0,0,M409/K409)</f>
      </c>
      <c r="O409" s="2" t="s">
        <v>5319</v>
      </c>
      <c r="P409" s="2" t="s">
        <v>5320</v>
      </c>
      <c r="Q409" s="2" t="s">
        <v>5321</v>
      </c>
      <c r="R409" s="2" t="s">
        <v>5322</v>
      </c>
      <c r="S409" s="2" t="s">
        <v>5323</v>
      </c>
    </row>
    <row customHeight="true" ht="15" r="410">
      <c r="A410" s="2">
        <v>2025</v>
      </c>
      <c r="B410" s="2">
        <v>4</v>
      </c>
      <c r="C410" s="2" t="s">
        <v>5324</v>
      </c>
      <c r="D410" s="2" t="s">
        <v>5325</v>
      </c>
      <c r="E410" s="2" t="s">
        <v>5326</v>
      </c>
      <c r="F410" s="2" t="s">
        <v>5327</v>
      </c>
      <c r="G410" s="2" t="s">
        <v>5328</v>
      </c>
      <c r="H410" s="2" t="s">
        <v>5329</v>
      </c>
      <c r="I410" s="2" t="s">
        <v>5330</v>
      </c>
      <c r="J410" s="2" t="s">
        <v>5331</v>
      </c>
      <c r="K410" s="3">
        <v>96882.86</v>
      </c>
      <c r="L410" s="3">
        <v>101664.5</v>
      </c>
      <c r="M410" s="3">
        <f>L410-K410</f>
      </c>
      <c r="N410" s="4">
        <f>IF(K410=0,0,M410/K410)</f>
      </c>
      <c r="O410" s="2" t="s">
        <v>5332</v>
      </c>
      <c r="P410" s="2" t="s">
        <v>5333</v>
      </c>
      <c r="Q410" s="2" t="s">
        <v>5334</v>
      </c>
      <c r="R410" s="2" t="s">
        <v>5335</v>
      </c>
      <c r="S410" s="2" t="s">
        <v>5336</v>
      </c>
    </row>
    <row customHeight="true" ht="15" r="411">
      <c r="A411" s="2">
        <v>2025</v>
      </c>
      <c r="B411" s="2">
        <v>4</v>
      </c>
      <c r="C411" s="2" t="s">
        <v>5337</v>
      </c>
      <c r="D411" s="2" t="s">
        <v>5338</v>
      </c>
      <c r="E411" s="2" t="s">
        <v>5339</v>
      </c>
      <c r="F411" s="2" t="s">
        <v>5340</v>
      </c>
      <c r="G411" s="2" t="s">
        <v>5341</v>
      </c>
      <c r="H411" s="2" t="s">
        <v>5342</v>
      </c>
      <c r="I411" s="2" t="s">
        <v>5343</v>
      </c>
      <c r="J411" s="2" t="s">
        <v>5344</v>
      </c>
      <c r="K411" s="3">
        <v>220819.12</v>
      </c>
      <c r="L411" s="3">
        <v>264294.38</v>
      </c>
      <c r="M411" s="3">
        <f>L411-K411</f>
      </c>
      <c r="N411" s="4">
        <f>IF(K411=0,0,M411/K411)</f>
      </c>
      <c r="O411" s="2" t="s">
        <v>5345</v>
      </c>
      <c r="P411" s="2" t="s">
        <v>5346</v>
      </c>
      <c r="Q411" s="2" t="s">
        <v>5347</v>
      </c>
      <c r="R411" s="2" t="s">
        <v>5348</v>
      </c>
      <c r="S411" s="2" t="s">
        <v>5349</v>
      </c>
    </row>
    <row customHeight="true" ht="15" r="412">
      <c r="A412" s="2">
        <v>2025</v>
      </c>
      <c r="B412" s="2">
        <v>4</v>
      </c>
      <c r="C412" s="2" t="s">
        <v>5350</v>
      </c>
      <c r="D412" s="2" t="s">
        <v>5351</v>
      </c>
      <c r="E412" s="2" t="s">
        <v>5352</v>
      </c>
      <c r="F412" s="2" t="s">
        <v>5353</v>
      </c>
      <c r="G412" s="2" t="s">
        <v>5354</v>
      </c>
      <c r="H412" s="2" t="s">
        <v>5355</v>
      </c>
      <c r="I412" s="2" t="s">
        <v>5356</v>
      </c>
      <c r="J412" s="2" t="s">
        <v>5357</v>
      </c>
      <c r="K412" s="3">
        <v>68531.95</v>
      </c>
      <c r="L412" s="3">
        <v>73723.32</v>
      </c>
      <c r="M412" s="3">
        <f>L412-K412</f>
      </c>
      <c r="N412" s="4">
        <f>IF(K412=0,0,M412/K412)</f>
      </c>
      <c r="O412" s="2" t="s">
        <v>5358</v>
      </c>
      <c r="P412" s="2" t="s">
        <v>5359</v>
      </c>
      <c r="Q412" s="2" t="s">
        <v>5360</v>
      </c>
      <c r="R412" s="2" t="s">
        <v>5361</v>
      </c>
      <c r="S412" s="2" t="s">
        <v>5362</v>
      </c>
    </row>
    <row customHeight="true" ht="15" r="413">
      <c r="A413" s="2">
        <v>2025</v>
      </c>
      <c r="B413" s="2">
        <v>4</v>
      </c>
      <c r="C413" s="2" t="s">
        <v>5363</v>
      </c>
      <c r="D413" s="2" t="s">
        <v>5364</v>
      </c>
      <c r="E413" s="2" t="s">
        <v>5365</v>
      </c>
      <c r="F413" s="2" t="s">
        <v>5366</v>
      </c>
      <c r="G413" s="2" t="s">
        <v>5367</v>
      </c>
      <c r="H413" s="2" t="s">
        <v>5368</v>
      </c>
      <c r="I413" s="2" t="s">
        <v>5369</v>
      </c>
      <c r="J413" s="2" t="s">
        <v>5370</v>
      </c>
      <c r="K413" s="3">
        <v>106446.69</v>
      </c>
      <c r="L413" s="3">
        <v>102183.78</v>
      </c>
      <c r="M413" s="3">
        <f>L413-K413</f>
      </c>
      <c r="N413" s="4">
        <f>IF(K413=0,0,M413/K413)</f>
      </c>
      <c r="O413" s="2" t="s">
        <v>5371</v>
      </c>
      <c r="P413" s="2" t="s">
        <v>5372</v>
      </c>
      <c r="Q413" s="2" t="s">
        <v>5373</v>
      </c>
      <c r="R413" s="2" t="s">
        <v>5374</v>
      </c>
      <c r="S413" s="2" t="s">
        <v>5375</v>
      </c>
    </row>
    <row customHeight="true" ht="15" r="414">
      <c r="A414" s="2">
        <v>2025</v>
      </c>
      <c r="B414" s="2">
        <v>4</v>
      </c>
      <c r="C414" s="2" t="s">
        <v>5376</v>
      </c>
      <c r="D414" s="2" t="s">
        <v>5377</v>
      </c>
      <c r="E414" s="2" t="s">
        <v>5378</v>
      </c>
      <c r="F414" s="2" t="s">
        <v>5379</v>
      </c>
      <c r="G414" s="2" t="s">
        <v>5380</v>
      </c>
      <c r="H414" s="2" t="s">
        <v>5381</v>
      </c>
      <c r="I414" s="2" t="s">
        <v>5382</v>
      </c>
      <c r="J414" s="2" t="s">
        <v>5383</v>
      </c>
      <c r="K414" s="3">
        <v>125058.76</v>
      </c>
      <c r="L414" s="3">
        <v>123163.16</v>
      </c>
      <c r="M414" s="3">
        <f>L414-K414</f>
      </c>
      <c r="N414" s="4">
        <f>IF(K414=0,0,M414/K414)</f>
      </c>
      <c r="O414" s="2" t="s">
        <v>5384</v>
      </c>
      <c r="P414" s="2" t="s">
        <v>5385</v>
      </c>
      <c r="Q414" s="2" t="s">
        <v>5386</v>
      </c>
      <c r="R414" s="2" t="s">
        <v>5387</v>
      </c>
      <c r="S414" s="2" t="s">
        <v>5388</v>
      </c>
    </row>
    <row customHeight="true" ht="15" r="415">
      <c r="A415" s="2">
        <v>2025</v>
      </c>
      <c r="B415" s="2">
        <v>4</v>
      </c>
      <c r="C415" s="2" t="s">
        <v>5389</v>
      </c>
      <c r="D415" s="2" t="s">
        <v>5390</v>
      </c>
      <c r="E415" s="2" t="s">
        <v>5391</v>
      </c>
      <c r="F415" s="2" t="s">
        <v>5392</v>
      </c>
      <c r="G415" s="2" t="s">
        <v>5393</v>
      </c>
      <c r="H415" s="2" t="s">
        <v>5394</v>
      </c>
      <c r="I415" s="2" t="s">
        <v>5395</v>
      </c>
      <c r="J415" s="2" t="s">
        <v>5396</v>
      </c>
      <c r="K415" s="3">
        <v>297779.76</v>
      </c>
      <c r="L415" s="3">
        <v>278529.65</v>
      </c>
      <c r="M415" s="3">
        <f>L415-K415</f>
      </c>
      <c r="N415" s="4">
        <f>IF(K415=0,0,M415/K415)</f>
      </c>
      <c r="O415" s="2" t="s">
        <v>5397</v>
      </c>
      <c r="P415" s="2" t="s">
        <v>5398</v>
      </c>
      <c r="Q415" s="2" t="s">
        <v>5399</v>
      </c>
      <c r="R415" s="2" t="s">
        <v>5400</v>
      </c>
      <c r="S415" s="2" t="s">
        <v>5401</v>
      </c>
    </row>
    <row customHeight="true" ht="15" r="416">
      <c r="A416" s="2">
        <v>2025</v>
      </c>
      <c r="B416" s="2">
        <v>4</v>
      </c>
      <c r="C416" s="2" t="s">
        <v>5402</v>
      </c>
      <c r="D416" s="2" t="s">
        <v>5403</v>
      </c>
      <c r="E416" s="2" t="s">
        <v>5404</v>
      </c>
      <c r="F416" s="2" t="s">
        <v>5405</v>
      </c>
      <c r="G416" s="2" t="s">
        <v>5406</v>
      </c>
      <c r="H416" s="2" t="s">
        <v>5407</v>
      </c>
      <c r="I416" s="2" t="s">
        <v>5408</v>
      </c>
      <c r="J416" s="2" t="s">
        <v>5409</v>
      </c>
      <c r="K416" s="3">
        <v>66616.49</v>
      </c>
      <c r="L416" s="3">
        <v>64031.61</v>
      </c>
      <c r="M416" s="3">
        <f>L416-K416</f>
      </c>
      <c r="N416" s="4">
        <f>IF(K416=0,0,M416/K416)</f>
      </c>
      <c r="O416" s="2" t="s">
        <v>5410</v>
      </c>
      <c r="P416" s="2" t="s">
        <v>5411</v>
      </c>
      <c r="Q416" s="2" t="s">
        <v>5412</v>
      </c>
      <c r="R416" s="2" t="s">
        <v>5413</v>
      </c>
      <c r="S416" s="2" t="s">
        <v>5414</v>
      </c>
    </row>
    <row customHeight="true" ht="15" r="417">
      <c r="A417" s="2">
        <v>2025</v>
      </c>
      <c r="B417" s="2">
        <v>4</v>
      </c>
      <c r="C417" s="2" t="s">
        <v>5415</v>
      </c>
      <c r="D417" s="2" t="s">
        <v>5416</v>
      </c>
      <c r="E417" s="2" t="s">
        <v>5417</v>
      </c>
      <c r="F417" s="2" t="s">
        <v>5418</v>
      </c>
      <c r="G417" s="2" t="s">
        <v>5419</v>
      </c>
      <c r="H417" s="2" t="s">
        <v>5420</v>
      </c>
      <c r="I417" s="2" t="s">
        <v>5421</v>
      </c>
      <c r="J417" s="2" t="s">
        <v>5422</v>
      </c>
      <c r="K417" s="3">
        <v>181085.49</v>
      </c>
      <c r="L417" s="3">
        <v>230617.75</v>
      </c>
      <c r="M417" s="3">
        <f>L417-K417</f>
      </c>
      <c r="N417" s="4">
        <f>IF(K417=0,0,M417/K417)</f>
      </c>
      <c r="O417" s="2" t="s">
        <v>5423</v>
      </c>
      <c r="P417" s="2" t="s">
        <v>5424</v>
      </c>
      <c r="Q417" s="2" t="s">
        <v>5425</v>
      </c>
      <c r="R417" s="2" t="s">
        <v>5426</v>
      </c>
      <c r="S417" s="2" t="s">
        <v>5427</v>
      </c>
    </row>
    <row customHeight="true" ht="15" r="418">
      <c r="A418" s="2">
        <v>2025</v>
      </c>
      <c r="B418" s="2">
        <v>4</v>
      </c>
      <c r="C418" s="2" t="s">
        <v>5428</v>
      </c>
      <c r="D418" s="2" t="s">
        <v>5429</v>
      </c>
      <c r="E418" s="2" t="s">
        <v>5430</v>
      </c>
      <c r="F418" s="2" t="s">
        <v>5431</v>
      </c>
      <c r="G418" s="2" t="s">
        <v>5432</v>
      </c>
      <c r="H418" s="2" t="s">
        <v>5433</v>
      </c>
      <c r="I418" s="2" t="s">
        <v>5434</v>
      </c>
      <c r="J418" s="2" t="s">
        <v>5435</v>
      </c>
      <c r="K418" s="3">
        <v>81600.2</v>
      </c>
      <c r="L418" s="3">
        <v>83927.54</v>
      </c>
      <c r="M418" s="3">
        <f>L418-K418</f>
      </c>
      <c r="N418" s="4">
        <f>IF(K418=0,0,M418/K418)</f>
      </c>
      <c r="O418" s="2" t="s">
        <v>5436</v>
      </c>
      <c r="P418" s="2" t="s">
        <v>5437</v>
      </c>
      <c r="Q418" s="2" t="s">
        <v>5438</v>
      </c>
      <c r="R418" s="2" t="s">
        <v>5439</v>
      </c>
      <c r="S418" s="2" t="s">
        <v>5440</v>
      </c>
    </row>
    <row customHeight="true" ht="15" r="419">
      <c r="A419" s="2">
        <v>2025</v>
      </c>
      <c r="B419" s="2">
        <v>4</v>
      </c>
      <c r="C419" s="2" t="s">
        <v>5441</v>
      </c>
      <c r="D419" s="2" t="s">
        <v>5442</v>
      </c>
      <c r="E419" s="2" t="s">
        <v>5443</v>
      </c>
      <c r="F419" s="2" t="s">
        <v>5444</v>
      </c>
      <c r="G419" s="2" t="s">
        <v>5445</v>
      </c>
      <c r="H419" s="2" t="s">
        <v>5446</v>
      </c>
      <c r="I419" s="2" t="s">
        <v>5447</v>
      </c>
      <c r="J419" s="2" t="s">
        <v>5448</v>
      </c>
      <c r="K419" s="3">
        <v>103834.3</v>
      </c>
      <c r="L419" s="3">
        <v>107019.1</v>
      </c>
      <c r="M419" s="3">
        <f>L419-K419</f>
      </c>
      <c r="N419" s="4">
        <f>IF(K419=0,0,M419/K419)</f>
      </c>
      <c r="O419" s="2" t="s">
        <v>5449</v>
      </c>
      <c r="P419" s="2" t="s">
        <v>5450</v>
      </c>
      <c r="Q419" s="2" t="s">
        <v>5451</v>
      </c>
      <c r="R419" s="2" t="s">
        <v>5452</v>
      </c>
      <c r="S419" s="2" t="s">
        <v>5453</v>
      </c>
    </row>
    <row customHeight="true" ht="15" r="420">
      <c r="A420" s="2">
        <v>2025</v>
      </c>
      <c r="B420" s="2">
        <v>4</v>
      </c>
      <c r="C420" s="2" t="s">
        <v>5454</v>
      </c>
      <c r="D420" s="2" t="s">
        <v>5455</v>
      </c>
      <c r="E420" s="2" t="s">
        <v>5456</v>
      </c>
      <c r="F420" s="2" t="s">
        <v>5457</v>
      </c>
      <c r="G420" s="2" t="s">
        <v>5458</v>
      </c>
      <c r="H420" s="2" t="s">
        <v>5459</v>
      </c>
      <c r="I420" s="2" t="s">
        <v>5460</v>
      </c>
      <c r="J420" s="2" t="s">
        <v>5461</v>
      </c>
      <c r="K420" s="3">
        <v>43312.88</v>
      </c>
      <c r="L420" s="3">
        <v>47502.42</v>
      </c>
      <c r="M420" s="3">
        <f>L420-K420</f>
      </c>
      <c r="N420" s="4">
        <f>IF(K420=0,0,M420/K420)</f>
      </c>
      <c r="O420" s="2" t="s">
        <v>5462</v>
      </c>
      <c r="P420" s="2" t="s">
        <v>5463</v>
      </c>
      <c r="Q420" s="2" t="s">
        <v>5464</v>
      </c>
      <c r="R420" s="2" t="s">
        <v>5465</v>
      </c>
      <c r="S420" s="2" t="s">
        <v>5466</v>
      </c>
    </row>
    <row customHeight="true" ht="15" r="421">
      <c r="A421" s="2">
        <v>2025</v>
      </c>
      <c r="B421" s="2">
        <v>4</v>
      </c>
      <c r="C421" s="2" t="s">
        <v>5467</v>
      </c>
      <c r="D421" s="2" t="s">
        <v>5468</v>
      </c>
      <c r="E421" s="2" t="s">
        <v>5469</v>
      </c>
      <c r="F421" s="2" t="s">
        <v>5470</v>
      </c>
      <c r="G421" s="2" t="s">
        <v>5471</v>
      </c>
      <c r="H421" s="2" t="s">
        <v>5472</v>
      </c>
      <c r="I421" s="2" t="s">
        <v>5473</v>
      </c>
      <c r="J421" s="2" t="s">
        <v>5474</v>
      </c>
      <c r="K421" s="3">
        <v>163298.65</v>
      </c>
      <c r="L421" s="3">
        <v>170217.26</v>
      </c>
      <c r="M421" s="3">
        <f>L421-K421</f>
      </c>
      <c r="N421" s="4">
        <f>IF(K421=0,0,M421/K421)</f>
      </c>
      <c r="O421" s="2" t="s">
        <v>5475</v>
      </c>
      <c r="P421" s="2" t="s">
        <v>5476</v>
      </c>
      <c r="Q421" s="2" t="s">
        <v>5477</v>
      </c>
      <c r="R421" s="2" t="s">
        <v>5478</v>
      </c>
      <c r="S421" s="2" t="s">
        <v>5479</v>
      </c>
    </row>
    <row customHeight="true" ht="15" r="422">
      <c r="A422" s="2">
        <v>2025</v>
      </c>
      <c r="B422" s="2">
        <v>5</v>
      </c>
      <c r="C422" s="2" t="s">
        <v>5480</v>
      </c>
      <c r="D422" s="2" t="s">
        <v>5481</v>
      </c>
      <c r="E422" s="2" t="s">
        <v>5482</v>
      </c>
      <c r="F422" s="2" t="s">
        <v>5483</v>
      </c>
      <c r="G422" s="2" t="s">
        <v>5484</v>
      </c>
      <c r="H422" s="2" t="s">
        <v>5485</v>
      </c>
      <c r="I422" s="2" t="s">
        <v>5486</v>
      </c>
      <c r="J422" s="2" t="s">
        <v>5487</v>
      </c>
      <c r="K422" s="3">
        <v>418552.59</v>
      </c>
      <c r="L422" s="3">
        <v>355803.73</v>
      </c>
      <c r="M422" s="3">
        <f>L422-K422</f>
      </c>
      <c r="N422" s="4">
        <f>IF(K422=0,0,M422/K422)</f>
      </c>
      <c r="O422" s="2" t="s">
        <v>5488</v>
      </c>
      <c r="P422" s="2" t="s">
        <v>5489</v>
      </c>
      <c r="Q422" s="2" t="s">
        <v>5490</v>
      </c>
      <c r="R422" s="2" t="s">
        <v>5491</v>
      </c>
      <c r="S422" s="2" t="s">
        <v>5492</v>
      </c>
    </row>
    <row customHeight="true" ht="15" r="423">
      <c r="A423" s="2">
        <v>2025</v>
      </c>
      <c r="B423" s="2">
        <v>5</v>
      </c>
      <c r="C423" s="2" t="s">
        <v>5493</v>
      </c>
      <c r="D423" s="2" t="s">
        <v>5494</v>
      </c>
      <c r="E423" s="2" t="s">
        <v>5495</v>
      </c>
      <c r="F423" s="2" t="s">
        <v>5496</v>
      </c>
      <c r="G423" s="2" t="s">
        <v>5497</v>
      </c>
      <c r="H423" s="2" t="s">
        <v>5498</v>
      </c>
      <c r="I423" s="2" t="s">
        <v>5499</v>
      </c>
      <c r="J423" s="2" t="s">
        <v>5500</v>
      </c>
      <c r="K423" s="3">
        <v>445933.75</v>
      </c>
      <c r="L423" s="3">
        <v>494986.11</v>
      </c>
      <c r="M423" s="3">
        <f>L423-K423</f>
      </c>
      <c r="N423" s="4">
        <f>IF(K423=0,0,M423/K423)</f>
      </c>
      <c r="O423" s="2" t="s">
        <v>5501</v>
      </c>
      <c r="P423" s="2" t="s">
        <v>5502</v>
      </c>
      <c r="Q423" s="2" t="s">
        <v>5503</v>
      </c>
      <c r="R423" s="2" t="s">
        <v>5504</v>
      </c>
      <c r="S423" s="2" t="s">
        <v>5505</v>
      </c>
    </row>
    <row customHeight="true" ht="15" r="424">
      <c r="A424" s="2">
        <v>2025</v>
      </c>
      <c r="B424" s="2">
        <v>5</v>
      </c>
      <c r="C424" s="2" t="s">
        <v>5506</v>
      </c>
      <c r="D424" s="2" t="s">
        <v>5507</v>
      </c>
      <c r="E424" s="2" t="s">
        <v>5508</v>
      </c>
      <c r="F424" s="2" t="s">
        <v>5509</v>
      </c>
      <c r="G424" s="2" t="s">
        <v>5510</v>
      </c>
      <c r="H424" s="2" t="s">
        <v>5511</v>
      </c>
      <c r="I424" s="2" t="s">
        <v>5512</v>
      </c>
      <c r="J424" s="2" t="s">
        <v>5513</v>
      </c>
      <c r="K424" s="3">
        <v>100817.44</v>
      </c>
      <c r="L424" s="3">
        <v>107509.53</v>
      </c>
      <c r="M424" s="3">
        <f>L424-K424</f>
      </c>
      <c r="N424" s="4">
        <f>IF(K424=0,0,M424/K424)</f>
      </c>
      <c r="O424" s="2" t="s">
        <v>5514</v>
      </c>
      <c r="P424" s="2" t="s">
        <v>5515</v>
      </c>
      <c r="Q424" s="2" t="s">
        <v>5516</v>
      </c>
      <c r="R424" s="2" t="s">
        <v>5517</v>
      </c>
      <c r="S424" s="2" t="s">
        <v>5518</v>
      </c>
    </row>
    <row customHeight="true" ht="15" r="425">
      <c r="A425" s="2">
        <v>2025</v>
      </c>
      <c r="B425" s="2">
        <v>5</v>
      </c>
      <c r="C425" s="2" t="s">
        <v>5519</v>
      </c>
      <c r="D425" s="2" t="s">
        <v>5520</v>
      </c>
      <c r="E425" s="2" t="s">
        <v>5521</v>
      </c>
      <c r="F425" s="2" t="s">
        <v>5522</v>
      </c>
      <c r="G425" s="2" t="s">
        <v>5523</v>
      </c>
      <c r="H425" s="2" t="s">
        <v>5524</v>
      </c>
      <c r="I425" s="2" t="s">
        <v>5525</v>
      </c>
      <c r="J425" s="2" t="s">
        <v>5526</v>
      </c>
      <c r="K425" s="3">
        <v>402201.65</v>
      </c>
      <c r="L425" s="3">
        <v>409978.9</v>
      </c>
      <c r="M425" s="3">
        <f>L425-K425</f>
      </c>
      <c r="N425" s="4">
        <f>IF(K425=0,0,M425/K425)</f>
      </c>
      <c r="O425" s="2" t="s">
        <v>5527</v>
      </c>
      <c r="P425" s="2" t="s">
        <v>5528</v>
      </c>
      <c r="Q425" s="2" t="s">
        <v>5529</v>
      </c>
      <c r="R425" s="2" t="s">
        <v>5530</v>
      </c>
      <c r="S425" s="2" t="s">
        <v>5531</v>
      </c>
    </row>
    <row customHeight="true" ht="15" r="426">
      <c r="A426" s="2">
        <v>2025</v>
      </c>
      <c r="B426" s="2">
        <v>5</v>
      </c>
      <c r="C426" s="2" t="s">
        <v>5532</v>
      </c>
      <c r="D426" s="2" t="s">
        <v>5533</v>
      </c>
      <c r="E426" s="2" t="s">
        <v>5534</v>
      </c>
      <c r="F426" s="2" t="s">
        <v>5535</v>
      </c>
      <c r="G426" s="2" t="s">
        <v>5536</v>
      </c>
      <c r="H426" s="2" t="s">
        <v>5537</v>
      </c>
      <c r="I426" s="2" t="s">
        <v>5538</v>
      </c>
      <c r="J426" s="2" t="s">
        <v>5539</v>
      </c>
      <c r="K426" s="3">
        <v>336057.31</v>
      </c>
      <c r="L426" s="3">
        <v>380239.1</v>
      </c>
      <c r="M426" s="3">
        <f>L426-K426</f>
      </c>
      <c r="N426" s="4">
        <f>IF(K426=0,0,M426/K426)</f>
      </c>
      <c r="O426" s="2" t="s">
        <v>5540</v>
      </c>
      <c r="P426" s="2" t="s">
        <v>5541</v>
      </c>
      <c r="Q426" s="2" t="s">
        <v>5542</v>
      </c>
      <c r="R426" s="2" t="s">
        <v>5543</v>
      </c>
      <c r="S426" s="2" t="s">
        <v>5544</v>
      </c>
    </row>
    <row customHeight="true" ht="15" r="427">
      <c r="A427" s="2">
        <v>2025</v>
      </c>
      <c r="B427" s="2">
        <v>5</v>
      </c>
      <c r="C427" s="2" t="s">
        <v>5545</v>
      </c>
      <c r="D427" s="2" t="s">
        <v>5546</v>
      </c>
      <c r="E427" s="2" t="s">
        <v>5547</v>
      </c>
      <c r="F427" s="2" t="s">
        <v>5548</v>
      </c>
      <c r="G427" s="2" t="s">
        <v>5549</v>
      </c>
      <c r="H427" s="2" t="s">
        <v>5550</v>
      </c>
      <c r="I427" s="2" t="s">
        <v>5551</v>
      </c>
      <c r="J427" s="2" t="s">
        <v>5552</v>
      </c>
      <c r="K427" s="3">
        <v>253094.2</v>
      </c>
      <c r="L427" s="3">
        <v>215501.69</v>
      </c>
      <c r="M427" s="3">
        <f>L427-K427</f>
      </c>
      <c r="N427" s="4">
        <f>IF(K427=0,0,M427/K427)</f>
      </c>
      <c r="O427" s="2" t="s">
        <v>5553</v>
      </c>
      <c r="P427" s="2" t="s">
        <v>5554</v>
      </c>
      <c r="Q427" s="2" t="s">
        <v>5555</v>
      </c>
      <c r="R427" s="2" t="s">
        <v>5556</v>
      </c>
      <c r="S427" s="2" t="s">
        <v>5557</v>
      </c>
    </row>
    <row customHeight="true" ht="15" r="428">
      <c r="A428" s="2">
        <v>2025</v>
      </c>
      <c r="B428" s="2">
        <v>5</v>
      </c>
      <c r="C428" s="2" t="s">
        <v>5558</v>
      </c>
      <c r="D428" s="2" t="s">
        <v>5559</v>
      </c>
      <c r="E428" s="2" t="s">
        <v>5560</v>
      </c>
      <c r="F428" s="2" t="s">
        <v>5561</v>
      </c>
      <c r="G428" s="2" t="s">
        <v>5562</v>
      </c>
      <c r="H428" s="2" t="s">
        <v>5563</v>
      </c>
      <c r="I428" s="2" t="s">
        <v>5564</v>
      </c>
      <c r="J428" s="2" t="s">
        <v>5565</v>
      </c>
      <c r="K428" s="3">
        <v>146714.05</v>
      </c>
      <c r="L428" s="3">
        <v>157144.22</v>
      </c>
      <c r="M428" s="3">
        <f>L428-K428</f>
      </c>
      <c r="N428" s="4">
        <f>IF(K428=0,0,M428/K428)</f>
      </c>
      <c r="O428" s="2" t="s">
        <v>5566</v>
      </c>
      <c r="P428" s="2" t="s">
        <v>5567</v>
      </c>
      <c r="Q428" s="2" t="s">
        <v>5568</v>
      </c>
      <c r="R428" s="2" t="s">
        <v>5569</v>
      </c>
      <c r="S428" s="2" t="s">
        <v>5570</v>
      </c>
    </row>
    <row customHeight="true" ht="15" r="429">
      <c r="A429" s="2">
        <v>2025</v>
      </c>
      <c r="B429" s="2">
        <v>5</v>
      </c>
      <c r="C429" s="2" t="s">
        <v>5571</v>
      </c>
      <c r="D429" s="2" t="s">
        <v>5572</v>
      </c>
      <c r="E429" s="2" t="s">
        <v>5573</v>
      </c>
      <c r="F429" s="2" t="s">
        <v>5574</v>
      </c>
      <c r="G429" s="2" t="s">
        <v>5575</v>
      </c>
      <c r="H429" s="2" t="s">
        <v>5576</v>
      </c>
      <c r="I429" s="2" t="s">
        <v>5577</v>
      </c>
      <c r="J429" s="2" t="s">
        <v>5578</v>
      </c>
      <c r="K429" s="3">
        <v>34074.12</v>
      </c>
      <c r="L429" s="3">
        <v>29545</v>
      </c>
      <c r="M429" s="3">
        <f>L429-K429</f>
      </c>
      <c r="N429" s="4">
        <f>IF(K429=0,0,M429/K429)</f>
      </c>
      <c r="O429" s="2" t="s">
        <v>5579</v>
      </c>
      <c r="P429" s="2" t="s">
        <v>5580</v>
      </c>
      <c r="Q429" s="2" t="s">
        <v>5581</v>
      </c>
      <c r="R429" s="2" t="s">
        <v>5582</v>
      </c>
      <c r="S429" s="2" t="s">
        <v>5583</v>
      </c>
    </row>
    <row customHeight="true" ht="15" r="430">
      <c r="A430" s="2">
        <v>2025</v>
      </c>
      <c r="B430" s="2">
        <v>5</v>
      </c>
      <c r="C430" s="2" t="s">
        <v>5584</v>
      </c>
      <c r="D430" s="2" t="s">
        <v>5585</v>
      </c>
      <c r="E430" s="2" t="s">
        <v>5586</v>
      </c>
      <c r="F430" s="2" t="s">
        <v>5587</v>
      </c>
      <c r="G430" s="2" t="s">
        <v>5588</v>
      </c>
      <c r="H430" s="2" t="s">
        <v>5589</v>
      </c>
      <c r="I430" s="2" t="s">
        <v>5590</v>
      </c>
      <c r="J430" s="2" t="s">
        <v>5591</v>
      </c>
      <c r="K430" s="3">
        <v>366784.21</v>
      </c>
      <c r="L430" s="3">
        <v>379198</v>
      </c>
      <c r="M430" s="3">
        <f>L430-K430</f>
      </c>
      <c r="N430" s="4">
        <f>IF(K430=0,0,M430/K430)</f>
      </c>
      <c r="O430" s="2" t="s">
        <v>5592</v>
      </c>
      <c r="P430" s="2" t="s">
        <v>5593</v>
      </c>
      <c r="Q430" s="2" t="s">
        <v>5594</v>
      </c>
      <c r="R430" s="2" t="s">
        <v>5595</v>
      </c>
      <c r="S430" s="2" t="s">
        <v>5596</v>
      </c>
    </row>
    <row customHeight="true" ht="15" r="431">
      <c r="A431" s="2">
        <v>2025</v>
      </c>
      <c r="B431" s="2">
        <v>5</v>
      </c>
      <c r="C431" s="2" t="s">
        <v>5597</v>
      </c>
      <c r="D431" s="2" t="s">
        <v>5598</v>
      </c>
      <c r="E431" s="2" t="s">
        <v>5599</v>
      </c>
      <c r="F431" s="2" t="s">
        <v>5600</v>
      </c>
      <c r="G431" s="2" t="s">
        <v>5601</v>
      </c>
      <c r="H431" s="2" t="s">
        <v>5602</v>
      </c>
      <c r="I431" s="2" t="s">
        <v>5603</v>
      </c>
      <c r="J431" s="2" t="s">
        <v>5604</v>
      </c>
      <c r="K431" s="3">
        <v>492615.87</v>
      </c>
      <c r="L431" s="3">
        <v>555474.55</v>
      </c>
      <c r="M431" s="3">
        <f>L431-K431</f>
      </c>
      <c r="N431" s="4">
        <f>IF(K431=0,0,M431/K431)</f>
      </c>
      <c r="O431" s="2" t="s">
        <v>5605</v>
      </c>
      <c r="P431" s="2" t="s">
        <v>5606</v>
      </c>
      <c r="Q431" s="2" t="s">
        <v>5607</v>
      </c>
      <c r="R431" s="2" t="s">
        <v>5608</v>
      </c>
      <c r="S431" s="2" t="s">
        <v>5609</v>
      </c>
    </row>
    <row customHeight="true" ht="15" r="432">
      <c r="A432" s="2">
        <v>2025</v>
      </c>
      <c r="B432" s="2">
        <v>5</v>
      </c>
      <c r="C432" s="2" t="s">
        <v>5610</v>
      </c>
      <c r="D432" s="2" t="s">
        <v>5611</v>
      </c>
      <c r="E432" s="2" t="s">
        <v>5612</v>
      </c>
      <c r="F432" s="2" t="s">
        <v>5613</v>
      </c>
      <c r="G432" s="2" t="s">
        <v>5614</v>
      </c>
      <c r="H432" s="2" t="s">
        <v>5615</v>
      </c>
      <c r="I432" s="2" t="s">
        <v>5616</v>
      </c>
      <c r="J432" s="2" t="s">
        <v>5617</v>
      </c>
      <c r="K432" s="3">
        <v>331460.73</v>
      </c>
      <c r="L432" s="3">
        <v>279211.02</v>
      </c>
      <c r="M432" s="3">
        <f>L432-K432</f>
      </c>
      <c r="N432" s="4">
        <f>IF(K432=0,0,M432/K432)</f>
      </c>
      <c r="O432" s="2" t="s">
        <v>5618</v>
      </c>
      <c r="P432" s="2" t="s">
        <v>5619</v>
      </c>
      <c r="Q432" s="2" t="s">
        <v>5620</v>
      </c>
      <c r="R432" s="2" t="s">
        <v>5621</v>
      </c>
      <c r="S432" s="2" t="s">
        <v>5622</v>
      </c>
    </row>
    <row customHeight="true" ht="15" r="433">
      <c r="A433" s="2">
        <v>2025</v>
      </c>
      <c r="B433" s="2">
        <v>5</v>
      </c>
      <c r="C433" s="2" t="s">
        <v>5623</v>
      </c>
      <c r="D433" s="2" t="s">
        <v>5624</v>
      </c>
      <c r="E433" s="2" t="s">
        <v>5625</v>
      </c>
      <c r="F433" s="2" t="s">
        <v>5626</v>
      </c>
      <c r="G433" s="2" t="s">
        <v>5627</v>
      </c>
      <c r="H433" s="2" t="s">
        <v>5628</v>
      </c>
      <c r="I433" s="2" t="s">
        <v>5629</v>
      </c>
      <c r="J433" s="2" t="s">
        <v>5630</v>
      </c>
      <c r="K433" s="3">
        <v>113241.68</v>
      </c>
      <c r="L433" s="3">
        <v>102187.65</v>
      </c>
      <c r="M433" s="3">
        <f>L433-K433</f>
      </c>
      <c r="N433" s="4">
        <f>IF(K433=0,0,M433/K433)</f>
      </c>
      <c r="O433" s="2" t="s">
        <v>5631</v>
      </c>
      <c r="P433" s="2" t="s">
        <v>5632</v>
      </c>
      <c r="Q433" s="2" t="s">
        <v>5633</v>
      </c>
      <c r="R433" s="2" t="s">
        <v>5634</v>
      </c>
      <c r="S433" s="2" t="s">
        <v>5635</v>
      </c>
    </row>
    <row customHeight="true" ht="15" r="434">
      <c r="A434" s="2">
        <v>2025</v>
      </c>
      <c r="B434" s="2">
        <v>5</v>
      </c>
      <c r="C434" s="2" t="s">
        <v>5636</v>
      </c>
      <c r="D434" s="2" t="s">
        <v>5637</v>
      </c>
      <c r="E434" s="2" t="s">
        <v>5638</v>
      </c>
      <c r="F434" s="2" t="s">
        <v>5639</v>
      </c>
      <c r="G434" s="2" t="s">
        <v>5640</v>
      </c>
      <c r="H434" s="2" t="s">
        <v>5641</v>
      </c>
      <c r="I434" s="2" t="s">
        <v>5642</v>
      </c>
      <c r="J434" s="2" t="s">
        <v>5643</v>
      </c>
      <c r="K434" s="3">
        <v>213671.56</v>
      </c>
      <c r="L434" s="3">
        <v>203070.07</v>
      </c>
      <c r="M434" s="3">
        <f>L434-K434</f>
      </c>
      <c r="N434" s="4">
        <f>IF(K434=0,0,M434/K434)</f>
      </c>
      <c r="O434" s="2" t="s">
        <v>5644</v>
      </c>
      <c r="P434" s="2" t="s">
        <v>5645</v>
      </c>
      <c r="Q434" s="2" t="s">
        <v>5646</v>
      </c>
      <c r="R434" s="2" t="s">
        <v>5647</v>
      </c>
      <c r="S434" s="2" t="s">
        <v>5648</v>
      </c>
    </row>
    <row customHeight="true" ht="15" r="435">
      <c r="A435" s="2">
        <v>2025</v>
      </c>
      <c r="B435" s="2">
        <v>5</v>
      </c>
      <c r="C435" s="2" t="s">
        <v>5649</v>
      </c>
      <c r="D435" s="2" t="s">
        <v>5650</v>
      </c>
      <c r="E435" s="2" t="s">
        <v>5651</v>
      </c>
      <c r="F435" s="2" t="s">
        <v>5652</v>
      </c>
      <c r="G435" s="2" t="s">
        <v>5653</v>
      </c>
      <c r="H435" s="2" t="s">
        <v>5654</v>
      </c>
      <c r="I435" s="2" t="s">
        <v>5655</v>
      </c>
      <c r="J435" s="2" t="s">
        <v>5656</v>
      </c>
      <c r="K435" s="3">
        <v>70209.02</v>
      </c>
      <c r="L435" s="3">
        <v>88648.51</v>
      </c>
      <c r="M435" s="3">
        <f>L435-K435</f>
      </c>
      <c r="N435" s="4">
        <f>IF(K435=0,0,M435/K435)</f>
      </c>
      <c r="O435" s="2" t="s">
        <v>5657</v>
      </c>
      <c r="P435" s="2" t="s">
        <v>5658</v>
      </c>
      <c r="Q435" s="2" t="s">
        <v>5659</v>
      </c>
      <c r="R435" s="2" t="s">
        <v>5660</v>
      </c>
      <c r="S435" s="2" t="s">
        <v>5661</v>
      </c>
    </row>
    <row customHeight="true" ht="15" r="436">
      <c r="A436" s="2">
        <v>2025</v>
      </c>
      <c r="B436" s="2">
        <v>5</v>
      </c>
      <c r="C436" s="2" t="s">
        <v>5662</v>
      </c>
      <c r="D436" s="2" t="s">
        <v>5663</v>
      </c>
      <c r="E436" s="2" t="s">
        <v>5664</v>
      </c>
      <c r="F436" s="2" t="s">
        <v>5665</v>
      </c>
      <c r="G436" s="2" t="s">
        <v>5666</v>
      </c>
      <c r="H436" s="2" t="s">
        <v>5667</v>
      </c>
      <c r="I436" s="2" t="s">
        <v>5668</v>
      </c>
      <c r="J436" s="2" t="s">
        <v>5669</v>
      </c>
      <c r="K436" s="3">
        <v>156244.68</v>
      </c>
      <c r="L436" s="3">
        <v>155930.87</v>
      </c>
      <c r="M436" s="3">
        <f>L436-K436</f>
      </c>
      <c r="N436" s="4">
        <f>IF(K436=0,0,M436/K436)</f>
      </c>
      <c r="O436" s="2" t="s">
        <v>5670</v>
      </c>
      <c r="P436" s="2" t="s">
        <v>5671</v>
      </c>
      <c r="Q436" s="2" t="s">
        <v>5672</v>
      </c>
      <c r="R436" s="2" t="s">
        <v>5673</v>
      </c>
      <c r="S436" s="2" t="s">
        <v>5674</v>
      </c>
    </row>
    <row customHeight="true" ht="15" r="437">
      <c r="A437" s="2">
        <v>2025</v>
      </c>
      <c r="B437" s="2">
        <v>6</v>
      </c>
      <c r="C437" s="2" t="s">
        <v>5675</v>
      </c>
      <c r="D437" s="2" t="s">
        <v>5676</v>
      </c>
      <c r="E437" s="2" t="s">
        <v>5677</v>
      </c>
      <c r="F437" s="2" t="s">
        <v>5678</v>
      </c>
      <c r="G437" s="2" t="s">
        <v>5679</v>
      </c>
      <c r="H437" s="2" t="s">
        <v>5680</v>
      </c>
      <c r="I437" s="2" t="s">
        <v>5681</v>
      </c>
      <c r="J437" s="2" t="s">
        <v>5682</v>
      </c>
      <c r="K437" s="3">
        <v>283592.22</v>
      </c>
      <c r="L437" s="3">
        <v>311760.51</v>
      </c>
      <c r="M437" s="3">
        <f>L437-K437</f>
      </c>
      <c r="N437" s="4">
        <f>IF(K437=0,0,M437/K437)</f>
      </c>
      <c r="O437" s="2" t="s">
        <v>5683</v>
      </c>
      <c r="P437" s="2" t="s">
        <v>5684</v>
      </c>
      <c r="Q437" s="2" t="s">
        <v>5685</v>
      </c>
      <c r="R437" s="2" t="s">
        <v>5686</v>
      </c>
      <c r="S437" s="2" t="s">
        <v>5687</v>
      </c>
    </row>
    <row customHeight="true" ht="15" r="438">
      <c r="A438" s="2">
        <v>2025</v>
      </c>
      <c r="B438" s="2">
        <v>6</v>
      </c>
      <c r="C438" s="2" t="s">
        <v>5688</v>
      </c>
      <c r="D438" s="2" t="s">
        <v>5689</v>
      </c>
      <c r="E438" s="2" t="s">
        <v>5690</v>
      </c>
      <c r="F438" s="2" t="s">
        <v>5691</v>
      </c>
      <c r="G438" s="2" t="s">
        <v>5692</v>
      </c>
      <c r="H438" s="2" t="s">
        <v>5693</v>
      </c>
      <c r="I438" s="2" t="s">
        <v>5694</v>
      </c>
      <c r="J438" s="2" t="s">
        <v>5695</v>
      </c>
      <c r="K438" s="3">
        <v>191756</v>
      </c>
      <c r="L438" s="3">
        <v>160452.85</v>
      </c>
      <c r="M438" s="3">
        <f>L438-K438</f>
      </c>
      <c r="N438" s="4">
        <f>IF(K438=0,0,M438/K438)</f>
      </c>
      <c r="O438" s="2" t="s">
        <v>5696</v>
      </c>
      <c r="P438" s="2" t="s">
        <v>5697</v>
      </c>
      <c r="Q438" s="2" t="s">
        <v>5698</v>
      </c>
      <c r="R438" s="2" t="s">
        <v>5699</v>
      </c>
      <c r="S438" s="2" t="s">
        <v>5700</v>
      </c>
    </row>
    <row customHeight="true" ht="15" r="439">
      <c r="A439" s="2">
        <v>2025</v>
      </c>
      <c r="B439" s="2">
        <v>6</v>
      </c>
      <c r="C439" s="2" t="s">
        <v>5701</v>
      </c>
      <c r="D439" s="2" t="s">
        <v>5702</v>
      </c>
      <c r="E439" s="2" t="s">
        <v>5703</v>
      </c>
      <c r="F439" s="2" t="s">
        <v>5704</v>
      </c>
      <c r="G439" s="2" t="s">
        <v>5705</v>
      </c>
      <c r="H439" s="2" t="s">
        <v>5706</v>
      </c>
      <c r="I439" s="2" t="s">
        <v>5707</v>
      </c>
      <c r="J439" s="2" t="s">
        <v>5708</v>
      </c>
      <c r="K439" s="3">
        <v>203468.73</v>
      </c>
      <c r="L439" s="3">
        <v>194992.61</v>
      </c>
      <c r="M439" s="3">
        <f>L439-K439</f>
      </c>
      <c r="N439" s="4">
        <f>IF(K439=0,0,M439/K439)</f>
      </c>
      <c r="O439" s="2" t="s">
        <v>5709</v>
      </c>
      <c r="P439" s="2" t="s">
        <v>5710</v>
      </c>
      <c r="Q439" s="2" t="s">
        <v>5711</v>
      </c>
      <c r="R439" s="2" t="s">
        <v>5712</v>
      </c>
      <c r="S439" s="2" t="s">
        <v>5713</v>
      </c>
    </row>
    <row customHeight="true" ht="15" r="440">
      <c r="A440" s="2">
        <v>2025</v>
      </c>
      <c r="B440" s="2">
        <v>6</v>
      </c>
      <c r="C440" s="2" t="s">
        <v>5714</v>
      </c>
      <c r="D440" s="2" t="s">
        <v>5715</v>
      </c>
      <c r="E440" s="2" t="s">
        <v>5716</v>
      </c>
      <c r="F440" s="2" t="s">
        <v>5717</v>
      </c>
      <c r="G440" s="2" t="s">
        <v>5718</v>
      </c>
      <c r="H440" s="2" t="s">
        <v>5719</v>
      </c>
      <c r="I440" s="2" t="s">
        <v>5720</v>
      </c>
      <c r="J440" s="2" t="s">
        <v>5721</v>
      </c>
      <c r="K440" s="3">
        <v>89175.1</v>
      </c>
      <c r="L440" s="3">
        <v>104653.98</v>
      </c>
      <c r="M440" s="3">
        <f>L440-K440</f>
      </c>
      <c r="N440" s="4">
        <f>IF(K440=0,0,M440/K440)</f>
      </c>
      <c r="O440" s="2" t="s">
        <v>5722</v>
      </c>
      <c r="P440" s="2" t="s">
        <v>5723</v>
      </c>
      <c r="Q440" s="2" t="s">
        <v>5724</v>
      </c>
      <c r="R440" s="2" t="s">
        <v>5725</v>
      </c>
      <c r="S440" s="2" t="s">
        <v>5726</v>
      </c>
    </row>
    <row customHeight="true" ht="15" r="441">
      <c r="A441" s="2">
        <v>2025</v>
      </c>
      <c r="B441" s="2">
        <v>6</v>
      </c>
      <c r="C441" s="2" t="s">
        <v>5727</v>
      </c>
      <c r="D441" s="2" t="s">
        <v>5728</v>
      </c>
      <c r="E441" s="2" t="s">
        <v>5729</v>
      </c>
      <c r="F441" s="2" t="s">
        <v>5730</v>
      </c>
      <c r="G441" s="2" t="s">
        <v>5731</v>
      </c>
      <c r="H441" s="2" t="s">
        <v>5732</v>
      </c>
      <c r="I441" s="2" t="s">
        <v>5733</v>
      </c>
      <c r="J441" s="2" t="s">
        <v>5734</v>
      </c>
      <c r="K441" s="3">
        <v>36774.76</v>
      </c>
      <c r="L441" s="3">
        <v>43722.33</v>
      </c>
      <c r="M441" s="3">
        <f>L441-K441</f>
      </c>
      <c r="N441" s="4">
        <f>IF(K441=0,0,M441/K441)</f>
      </c>
      <c r="O441" s="2" t="s">
        <v>5735</v>
      </c>
      <c r="P441" s="2" t="s">
        <v>5736</v>
      </c>
      <c r="Q441" s="2" t="s">
        <v>5737</v>
      </c>
      <c r="R441" s="2" t="s">
        <v>5738</v>
      </c>
      <c r="S441" s="2" t="s">
        <v>5739</v>
      </c>
    </row>
    <row customHeight="true" ht="15" r="442">
      <c r="A442" s="2">
        <v>2025</v>
      </c>
      <c r="B442" s="2">
        <v>6</v>
      </c>
      <c r="C442" s="2" t="s">
        <v>5740</v>
      </c>
      <c r="D442" s="2" t="s">
        <v>5741</v>
      </c>
      <c r="E442" s="2" t="s">
        <v>5742</v>
      </c>
      <c r="F442" s="2" t="s">
        <v>5743</v>
      </c>
      <c r="G442" s="2" t="s">
        <v>5744</v>
      </c>
      <c r="H442" s="2" t="s">
        <v>5745</v>
      </c>
      <c r="I442" s="2" t="s">
        <v>5746</v>
      </c>
      <c r="J442" s="2" t="s">
        <v>5747</v>
      </c>
      <c r="K442" s="3">
        <v>319029.55</v>
      </c>
      <c r="L442" s="3">
        <v>311164.33</v>
      </c>
      <c r="M442" s="3">
        <f>L442-K442</f>
      </c>
      <c r="N442" s="4">
        <f>IF(K442=0,0,M442/K442)</f>
      </c>
      <c r="O442" s="2" t="s">
        <v>5748</v>
      </c>
      <c r="P442" s="2" t="s">
        <v>5749</v>
      </c>
      <c r="Q442" s="2" t="s">
        <v>5750</v>
      </c>
      <c r="R442" s="2" t="s">
        <v>5751</v>
      </c>
      <c r="S442" s="2" t="s">
        <v>5752</v>
      </c>
    </row>
    <row customHeight="true" ht="15" r="443">
      <c r="A443" s="2">
        <v>2025</v>
      </c>
      <c r="B443" s="2">
        <v>6</v>
      </c>
      <c r="C443" s="2" t="s">
        <v>5753</v>
      </c>
      <c r="D443" s="2" t="s">
        <v>5754</v>
      </c>
      <c r="E443" s="2" t="s">
        <v>5755</v>
      </c>
      <c r="F443" s="2" t="s">
        <v>5756</v>
      </c>
      <c r="G443" s="2" t="s">
        <v>5757</v>
      </c>
      <c r="H443" s="2" t="s">
        <v>5758</v>
      </c>
      <c r="I443" s="2" t="s">
        <v>5759</v>
      </c>
      <c r="J443" s="2" t="s">
        <v>5760</v>
      </c>
      <c r="K443" s="3">
        <v>494184.2</v>
      </c>
      <c r="L443" s="3">
        <v>473773.03</v>
      </c>
      <c r="M443" s="3">
        <f>L443-K443</f>
      </c>
      <c r="N443" s="4">
        <f>IF(K443=0,0,M443/K443)</f>
      </c>
      <c r="O443" s="2" t="s">
        <v>5761</v>
      </c>
      <c r="P443" s="2" t="s">
        <v>5762</v>
      </c>
      <c r="Q443" s="2" t="s">
        <v>5763</v>
      </c>
      <c r="R443" s="2" t="s">
        <v>5764</v>
      </c>
      <c r="S443" s="2" t="s">
        <v>5765</v>
      </c>
    </row>
    <row customHeight="true" ht="15" r="444">
      <c r="A444" s="2">
        <v>2025</v>
      </c>
      <c r="B444" s="2">
        <v>6</v>
      </c>
      <c r="C444" s="2" t="s">
        <v>5766</v>
      </c>
      <c r="D444" s="2" t="s">
        <v>5767</v>
      </c>
      <c r="E444" s="2" t="s">
        <v>5768</v>
      </c>
      <c r="F444" s="2" t="s">
        <v>5769</v>
      </c>
      <c r="G444" s="2" t="s">
        <v>5770</v>
      </c>
      <c r="H444" s="2" t="s">
        <v>5771</v>
      </c>
      <c r="I444" s="2" t="s">
        <v>5772</v>
      </c>
      <c r="J444" s="2" t="s">
        <v>5773</v>
      </c>
      <c r="K444" s="3">
        <v>113681.02</v>
      </c>
      <c r="L444" s="3">
        <v>105843.1</v>
      </c>
      <c r="M444" s="3">
        <f>L444-K444</f>
      </c>
      <c r="N444" s="4">
        <f>IF(K444=0,0,M444/K444)</f>
      </c>
      <c r="O444" s="2" t="s">
        <v>5774</v>
      </c>
      <c r="P444" s="2" t="s">
        <v>5775</v>
      </c>
      <c r="Q444" s="2" t="s">
        <v>5776</v>
      </c>
      <c r="R444" s="2" t="s">
        <v>5777</v>
      </c>
      <c r="S444" s="2" t="s">
        <v>5778</v>
      </c>
    </row>
    <row customHeight="true" ht="15" r="445">
      <c r="A445" s="2">
        <v>2025</v>
      </c>
      <c r="B445" s="2">
        <v>6</v>
      </c>
      <c r="C445" s="2" t="s">
        <v>5779</v>
      </c>
      <c r="D445" s="2" t="s">
        <v>5780</v>
      </c>
      <c r="E445" s="2" t="s">
        <v>5781</v>
      </c>
      <c r="F445" s="2" t="s">
        <v>5782</v>
      </c>
      <c r="G445" s="2" t="s">
        <v>5783</v>
      </c>
      <c r="H445" s="2" t="s">
        <v>5784</v>
      </c>
      <c r="I445" s="2" t="s">
        <v>5785</v>
      </c>
      <c r="J445" s="2" t="s">
        <v>5786</v>
      </c>
      <c r="K445" s="3">
        <v>225137.24</v>
      </c>
      <c r="L445" s="3">
        <v>237868.97</v>
      </c>
      <c r="M445" s="3">
        <f>L445-K445</f>
      </c>
      <c r="N445" s="4">
        <f>IF(K445=0,0,M445/K445)</f>
      </c>
      <c r="O445" s="2" t="s">
        <v>5787</v>
      </c>
      <c r="P445" s="2" t="s">
        <v>5788</v>
      </c>
      <c r="Q445" s="2" t="s">
        <v>5789</v>
      </c>
      <c r="R445" s="2" t="s">
        <v>5790</v>
      </c>
      <c r="S445" s="2" t="s">
        <v>5791</v>
      </c>
    </row>
    <row customHeight="true" ht="15" r="446">
      <c r="A446" s="2">
        <v>2025</v>
      </c>
      <c r="B446" s="2">
        <v>6</v>
      </c>
      <c r="C446" s="2" t="s">
        <v>5792</v>
      </c>
      <c r="D446" s="2" t="s">
        <v>5793</v>
      </c>
      <c r="E446" s="2" t="s">
        <v>5794</v>
      </c>
      <c r="F446" s="2" t="s">
        <v>5795</v>
      </c>
      <c r="G446" s="2" t="s">
        <v>5796</v>
      </c>
      <c r="H446" s="2" t="s">
        <v>5797</v>
      </c>
      <c r="I446" s="2" t="s">
        <v>5798</v>
      </c>
      <c r="J446" s="2" t="s">
        <v>5799</v>
      </c>
      <c r="K446" s="3">
        <v>393923.14</v>
      </c>
      <c r="L446" s="3">
        <v>364302.55</v>
      </c>
      <c r="M446" s="3">
        <f>L446-K446</f>
      </c>
      <c r="N446" s="4">
        <f>IF(K446=0,0,M446/K446)</f>
      </c>
      <c r="O446" s="2" t="s">
        <v>5800</v>
      </c>
      <c r="P446" s="2" t="s">
        <v>5801</v>
      </c>
      <c r="Q446" s="2" t="s">
        <v>5802</v>
      </c>
      <c r="R446" s="2" t="s">
        <v>5803</v>
      </c>
      <c r="S446" s="2" t="s">
        <v>5804</v>
      </c>
    </row>
    <row customHeight="true" ht="15" r="447">
      <c r="A447" s="2">
        <v>2025</v>
      </c>
      <c r="B447" s="2">
        <v>6</v>
      </c>
      <c r="C447" s="2" t="s">
        <v>5805</v>
      </c>
      <c r="D447" s="2" t="s">
        <v>5806</v>
      </c>
      <c r="E447" s="2" t="s">
        <v>5807</v>
      </c>
      <c r="F447" s="2" t="s">
        <v>5808</v>
      </c>
      <c r="G447" s="2" t="s">
        <v>5809</v>
      </c>
      <c r="H447" s="2" t="s">
        <v>5810</v>
      </c>
      <c r="I447" s="2" t="s">
        <v>5811</v>
      </c>
      <c r="J447" s="2" t="s">
        <v>5812</v>
      </c>
      <c r="K447" s="3">
        <v>262271.77</v>
      </c>
      <c r="L447" s="3">
        <v>281998.03</v>
      </c>
      <c r="M447" s="3">
        <f>L447-K447</f>
      </c>
      <c r="N447" s="4">
        <f>IF(K447=0,0,M447/K447)</f>
      </c>
      <c r="O447" s="2" t="s">
        <v>5813</v>
      </c>
      <c r="P447" s="2" t="s">
        <v>5814</v>
      </c>
      <c r="Q447" s="2" t="s">
        <v>5815</v>
      </c>
      <c r="R447" s="2" t="s">
        <v>5816</v>
      </c>
      <c r="S447" s="2" t="s">
        <v>5817</v>
      </c>
    </row>
    <row customHeight="true" ht="15" r="448">
      <c r="A448" s="2">
        <v>2025</v>
      </c>
      <c r="B448" s="2">
        <v>6</v>
      </c>
      <c r="C448" s="2" t="s">
        <v>5818</v>
      </c>
      <c r="D448" s="2" t="s">
        <v>5819</v>
      </c>
      <c r="E448" s="2" t="s">
        <v>5820</v>
      </c>
      <c r="F448" s="2" t="s">
        <v>5821</v>
      </c>
      <c r="G448" s="2" t="s">
        <v>5822</v>
      </c>
      <c r="H448" s="2" t="s">
        <v>5823</v>
      </c>
      <c r="I448" s="2" t="s">
        <v>5824</v>
      </c>
      <c r="J448" s="2" t="s">
        <v>5825</v>
      </c>
      <c r="K448" s="3">
        <v>198197.38</v>
      </c>
      <c r="L448" s="3">
        <v>214401.72</v>
      </c>
      <c r="M448" s="3">
        <f>L448-K448</f>
      </c>
      <c r="N448" s="4">
        <f>IF(K448=0,0,M448/K448)</f>
      </c>
      <c r="O448" s="2" t="s">
        <v>5826</v>
      </c>
      <c r="P448" s="2" t="s">
        <v>5827</v>
      </c>
      <c r="Q448" s="2" t="s">
        <v>5828</v>
      </c>
      <c r="R448" s="2" t="s">
        <v>5829</v>
      </c>
      <c r="S448" s="2" t="s">
        <v>5830</v>
      </c>
    </row>
    <row customHeight="true" ht="15" r="449">
      <c r="A449" s="2">
        <v>2025</v>
      </c>
      <c r="B449" s="2">
        <v>6</v>
      </c>
      <c r="C449" s="2" t="s">
        <v>5831</v>
      </c>
      <c r="D449" s="2" t="s">
        <v>5832</v>
      </c>
      <c r="E449" s="2" t="s">
        <v>5833</v>
      </c>
      <c r="F449" s="2" t="s">
        <v>5834</v>
      </c>
      <c r="G449" s="2" t="s">
        <v>5835</v>
      </c>
      <c r="H449" s="2" t="s">
        <v>5836</v>
      </c>
      <c r="I449" s="2" t="s">
        <v>5837</v>
      </c>
      <c r="J449" s="2" t="s">
        <v>5838</v>
      </c>
      <c r="K449" s="3">
        <v>45387.44</v>
      </c>
      <c r="L449" s="3">
        <v>40054.92</v>
      </c>
      <c r="M449" s="3">
        <f>L449-K449</f>
      </c>
      <c r="N449" s="4">
        <f>IF(K449=0,0,M449/K449)</f>
      </c>
      <c r="O449" s="2" t="s">
        <v>5839</v>
      </c>
      <c r="P449" s="2" t="s">
        <v>5840</v>
      </c>
      <c r="Q449" s="2" t="s">
        <v>5841</v>
      </c>
      <c r="R449" s="2" t="s">
        <v>5842</v>
      </c>
      <c r="S449" s="2" t="s">
        <v>5843</v>
      </c>
    </row>
    <row customHeight="true" ht="15" r="450">
      <c r="A450" s="2">
        <v>2025</v>
      </c>
      <c r="B450" s="2">
        <v>6</v>
      </c>
      <c r="C450" s="2" t="s">
        <v>5844</v>
      </c>
      <c r="D450" s="2" t="s">
        <v>5845</v>
      </c>
      <c r="E450" s="2" t="s">
        <v>5846</v>
      </c>
      <c r="F450" s="2" t="s">
        <v>5847</v>
      </c>
      <c r="G450" s="2" t="s">
        <v>5848</v>
      </c>
      <c r="H450" s="2" t="s">
        <v>5849</v>
      </c>
      <c r="I450" s="2" t="s">
        <v>5850</v>
      </c>
      <c r="J450" s="2" t="s">
        <v>5851</v>
      </c>
      <c r="K450" s="3">
        <v>178379.12</v>
      </c>
      <c r="L450" s="3">
        <v>151341.4</v>
      </c>
      <c r="M450" s="3">
        <f>L450-K450</f>
      </c>
      <c r="N450" s="4">
        <f>IF(K450=0,0,M450/K450)</f>
      </c>
      <c r="O450" s="2" t="s">
        <v>5852</v>
      </c>
      <c r="P450" s="2" t="s">
        <v>5853</v>
      </c>
      <c r="Q450" s="2" t="s">
        <v>5854</v>
      </c>
      <c r="R450" s="2" t="s">
        <v>5855</v>
      </c>
      <c r="S450" s="2" t="s">
        <v>5856</v>
      </c>
    </row>
    <row customHeight="true" ht="15" r="451">
      <c r="A451" s="2">
        <v>2025</v>
      </c>
      <c r="B451" s="2">
        <v>6</v>
      </c>
      <c r="C451" s="2" t="s">
        <v>5857</v>
      </c>
      <c r="D451" s="2" t="s">
        <v>5858</v>
      </c>
      <c r="E451" s="2" t="s">
        <v>5859</v>
      </c>
      <c r="F451" s="2" t="s">
        <v>5860</v>
      </c>
      <c r="G451" s="2" t="s">
        <v>5861</v>
      </c>
      <c r="H451" s="2" t="s">
        <v>5862</v>
      </c>
      <c r="I451" s="2" t="s">
        <v>5863</v>
      </c>
      <c r="J451" s="2" t="s">
        <v>5864</v>
      </c>
      <c r="K451" s="3">
        <v>258187.32</v>
      </c>
      <c r="L451" s="3">
        <v>247978.95</v>
      </c>
      <c r="M451" s="3">
        <f>L451-K451</f>
      </c>
      <c r="N451" s="4">
        <f>IF(K451=0,0,M451/K451)</f>
      </c>
      <c r="O451" s="2" t="s">
        <v>5865</v>
      </c>
      <c r="P451" s="2" t="s">
        <v>5866</v>
      </c>
      <c r="Q451" s="2" t="s">
        <v>5867</v>
      </c>
      <c r="R451" s="2" t="s">
        <v>5868</v>
      </c>
      <c r="S451" s="2" t="s">
        <v>5869</v>
      </c>
    </row>
    <row customHeight="true" ht="15" r="452">
      <c r="A452" s="2">
        <v>2025</v>
      </c>
      <c r="B452" s="2">
        <v>7</v>
      </c>
      <c r="C452" s="2" t="s">
        <v>5870</v>
      </c>
      <c r="D452" s="2" t="s">
        <v>5871</v>
      </c>
      <c r="E452" s="2" t="s">
        <v>5872</v>
      </c>
      <c r="F452" s="2" t="s">
        <v>5873</v>
      </c>
      <c r="G452" s="2" t="s">
        <v>5874</v>
      </c>
      <c r="H452" s="2" t="s">
        <v>5875</v>
      </c>
      <c r="I452" s="2" t="s">
        <v>5876</v>
      </c>
      <c r="J452" s="2" t="s">
        <v>5877</v>
      </c>
      <c r="K452" s="3">
        <v>24523.43</v>
      </c>
      <c r="L452" s="3">
        <v>29019.48</v>
      </c>
      <c r="M452" s="3">
        <f>L452-K452</f>
      </c>
      <c r="N452" s="4">
        <f>IF(K452=0,0,M452/K452)</f>
      </c>
      <c r="O452" s="2" t="s">
        <v>5878</v>
      </c>
      <c r="P452" s="2" t="s">
        <v>5879</v>
      </c>
      <c r="Q452" s="2" t="s">
        <v>5880</v>
      </c>
      <c r="R452" s="2" t="s">
        <v>5881</v>
      </c>
      <c r="S452" s="2" t="s">
        <v>5882</v>
      </c>
    </row>
    <row customHeight="true" ht="15" r="453">
      <c r="A453" s="2">
        <v>2025</v>
      </c>
      <c r="B453" s="2">
        <v>7</v>
      </c>
      <c r="C453" s="2" t="s">
        <v>5883</v>
      </c>
      <c r="D453" s="2" t="s">
        <v>5884</v>
      </c>
      <c r="E453" s="2" t="s">
        <v>5885</v>
      </c>
      <c r="F453" s="2" t="s">
        <v>5886</v>
      </c>
      <c r="G453" s="2" t="s">
        <v>5887</v>
      </c>
      <c r="H453" s="2" t="s">
        <v>5888</v>
      </c>
      <c r="I453" s="2" t="s">
        <v>5889</v>
      </c>
      <c r="J453" s="2" t="s">
        <v>5890</v>
      </c>
      <c r="K453" s="3">
        <v>491351.04</v>
      </c>
      <c r="L453" s="3">
        <v>548341.36</v>
      </c>
      <c r="M453" s="3">
        <f>L453-K453</f>
      </c>
      <c r="N453" s="4">
        <f>IF(K453=0,0,M453/K453)</f>
      </c>
      <c r="O453" s="2" t="s">
        <v>5891</v>
      </c>
      <c r="P453" s="2" t="s">
        <v>5892</v>
      </c>
      <c r="Q453" s="2" t="s">
        <v>5893</v>
      </c>
      <c r="R453" s="2" t="s">
        <v>5894</v>
      </c>
      <c r="S453" s="2" t="s">
        <v>5895</v>
      </c>
    </row>
    <row customHeight="true" ht="15" r="454">
      <c r="A454" s="2">
        <v>2025</v>
      </c>
      <c r="B454" s="2">
        <v>7</v>
      </c>
      <c r="C454" s="2" t="s">
        <v>5896</v>
      </c>
      <c r="D454" s="2" t="s">
        <v>5897</v>
      </c>
      <c r="E454" s="2" t="s">
        <v>5898</v>
      </c>
      <c r="F454" s="2" t="s">
        <v>5899</v>
      </c>
      <c r="G454" s="2" t="s">
        <v>5900</v>
      </c>
      <c r="H454" s="2" t="s">
        <v>5901</v>
      </c>
      <c r="I454" s="2" t="s">
        <v>5902</v>
      </c>
      <c r="J454" s="2" t="s">
        <v>5903</v>
      </c>
      <c r="K454" s="3">
        <v>184725.74</v>
      </c>
      <c r="L454" s="3">
        <v>209227.77</v>
      </c>
      <c r="M454" s="3">
        <f>L454-K454</f>
      </c>
      <c r="N454" s="4">
        <f>IF(K454=0,0,M454/K454)</f>
      </c>
      <c r="O454" s="2" t="s">
        <v>5904</v>
      </c>
      <c r="P454" s="2" t="s">
        <v>5905</v>
      </c>
      <c r="Q454" s="2" t="s">
        <v>5906</v>
      </c>
      <c r="R454" s="2" t="s">
        <v>5907</v>
      </c>
      <c r="S454" s="2" t="s">
        <v>5908</v>
      </c>
    </row>
    <row customHeight="true" ht="15" r="455">
      <c r="A455" s="2">
        <v>2025</v>
      </c>
      <c r="B455" s="2">
        <v>7</v>
      </c>
      <c r="C455" s="2" t="s">
        <v>5909</v>
      </c>
      <c r="D455" s="2" t="s">
        <v>5910</v>
      </c>
      <c r="E455" s="2" t="s">
        <v>5911</v>
      </c>
      <c r="F455" s="2" t="s">
        <v>5912</v>
      </c>
      <c r="G455" s="2" t="s">
        <v>5913</v>
      </c>
      <c r="H455" s="2" t="s">
        <v>5914</v>
      </c>
      <c r="I455" s="2" t="s">
        <v>5915</v>
      </c>
      <c r="J455" s="2" t="s">
        <v>5916</v>
      </c>
      <c r="K455" s="3">
        <v>403991.8</v>
      </c>
      <c r="L455" s="3">
        <v>427922.87</v>
      </c>
      <c r="M455" s="3">
        <f>L455-K455</f>
      </c>
      <c r="N455" s="4">
        <f>IF(K455=0,0,M455/K455)</f>
      </c>
      <c r="O455" s="2" t="s">
        <v>5917</v>
      </c>
      <c r="P455" s="2" t="s">
        <v>5918</v>
      </c>
      <c r="Q455" s="2" t="s">
        <v>5919</v>
      </c>
      <c r="R455" s="2" t="s">
        <v>5920</v>
      </c>
      <c r="S455" s="2" t="s">
        <v>5921</v>
      </c>
    </row>
    <row customHeight="true" ht="15" r="456">
      <c r="A456" s="2">
        <v>2025</v>
      </c>
      <c r="B456" s="2">
        <v>7</v>
      </c>
      <c r="C456" s="2" t="s">
        <v>5922</v>
      </c>
      <c r="D456" s="2" t="s">
        <v>5923</v>
      </c>
      <c r="E456" s="2" t="s">
        <v>5924</v>
      </c>
      <c r="F456" s="2" t="s">
        <v>5925</v>
      </c>
      <c r="G456" s="2" t="s">
        <v>5926</v>
      </c>
      <c r="H456" s="2" t="s">
        <v>5927</v>
      </c>
      <c r="I456" s="2" t="s">
        <v>5928</v>
      </c>
      <c r="J456" s="2" t="s">
        <v>5929</v>
      </c>
      <c r="K456" s="3">
        <v>58182.68</v>
      </c>
      <c r="L456" s="3">
        <v>59219.6</v>
      </c>
      <c r="M456" s="3">
        <f>L456-K456</f>
      </c>
      <c r="N456" s="4">
        <f>IF(K456=0,0,M456/K456)</f>
      </c>
      <c r="O456" s="2" t="s">
        <v>5930</v>
      </c>
      <c r="P456" s="2" t="s">
        <v>5931</v>
      </c>
      <c r="Q456" s="2" t="s">
        <v>5932</v>
      </c>
      <c r="R456" s="2" t="s">
        <v>5933</v>
      </c>
      <c r="S456" s="2" t="s">
        <v>5934</v>
      </c>
    </row>
    <row customHeight="true" ht="15" r="457">
      <c r="A457" s="2">
        <v>2025</v>
      </c>
      <c r="B457" s="2">
        <v>7</v>
      </c>
      <c r="C457" s="2" t="s">
        <v>5935</v>
      </c>
      <c r="D457" s="2" t="s">
        <v>5936</v>
      </c>
      <c r="E457" s="2" t="s">
        <v>5937</v>
      </c>
      <c r="F457" s="2" t="s">
        <v>5938</v>
      </c>
      <c r="G457" s="2" t="s">
        <v>5939</v>
      </c>
      <c r="H457" s="2" t="s">
        <v>5940</v>
      </c>
      <c r="I457" s="2" t="s">
        <v>5941</v>
      </c>
      <c r="J457" s="2" t="s">
        <v>5942</v>
      </c>
      <c r="K457" s="3">
        <v>173763.05</v>
      </c>
      <c r="L457" s="3">
        <v>170886.26</v>
      </c>
      <c r="M457" s="3">
        <f>L457-K457</f>
      </c>
      <c r="N457" s="4">
        <f>IF(K457=0,0,M457/K457)</f>
      </c>
      <c r="O457" s="2" t="s">
        <v>5943</v>
      </c>
      <c r="P457" s="2" t="s">
        <v>5944</v>
      </c>
      <c r="Q457" s="2" t="s">
        <v>5945</v>
      </c>
      <c r="R457" s="2" t="s">
        <v>5946</v>
      </c>
      <c r="S457" s="2" t="s">
        <v>5947</v>
      </c>
    </row>
    <row customHeight="true" ht="15" r="458">
      <c r="A458" s="2">
        <v>2025</v>
      </c>
      <c r="B458" s="2">
        <v>7</v>
      </c>
      <c r="C458" s="2" t="s">
        <v>5948</v>
      </c>
      <c r="D458" s="2" t="s">
        <v>5949</v>
      </c>
      <c r="E458" s="2" t="s">
        <v>5950</v>
      </c>
      <c r="F458" s="2" t="s">
        <v>5951</v>
      </c>
      <c r="G458" s="2" t="s">
        <v>5952</v>
      </c>
      <c r="H458" s="2" t="s">
        <v>5953</v>
      </c>
      <c r="I458" s="2" t="s">
        <v>5954</v>
      </c>
      <c r="J458" s="2" t="s">
        <v>5955</v>
      </c>
      <c r="K458" s="3">
        <v>289810.43</v>
      </c>
      <c r="L458" s="3">
        <v>265264.98</v>
      </c>
      <c r="M458" s="3">
        <f>L458-K458</f>
      </c>
      <c r="N458" s="4">
        <f>IF(K458=0,0,M458/K458)</f>
      </c>
      <c r="O458" s="2" t="s">
        <v>5956</v>
      </c>
      <c r="P458" s="2" t="s">
        <v>5957</v>
      </c>
      <c r="Q458" s="2" t="s">
        <v>5958</v>
      </c>
      <c r="R458" s="2" t="s">
        <v>5959</v>
      </c>
      <c r="S458" s="2" t="s">
        <v>5960</v>
      </c>
    </row>
    <row customHeight="true" ht="15" r="459">
      <c r="A459" s="2">
        <v>2025</v>
      </c>
      <c r="B459" s="2">
        <v>7</v>
      </c>
      <c r="C459" s="2" t="s">
        <v>5961</v>
      </c>
      <c r="D459" s="2" t="s">
        <v>5962</v>
      </c>
      <c r="E459" s="2" t="s">
        <v>5963</v>
      </c>
      <c r="F459" s="2" t="s">
        <v>5964</v>
      </c>
      <c r="G459" s="2" t="s">
        <v>5965</v>
      </c>
      <c r="H459" s="2" t="s">
        <v>5966</v>
      </c>
      <c r="I459" s="2" t="s">
        <v>5967</v>
      </c>
      <c r="J459" s="2" t="s">
        <v>5968</v>
      </c>
      <c r="K459" s="3">
        <v>357922.47</v>
      </c>
      <c r="L459" s="3">
        <v>387128.6</v>
      </c>
      <c r="M459" s="3">
        <f>L459-K459</f>
      </c>
      <c r="N459" s="4">
        <f>IF(K459=0,0,M459/K459)</f>
      </c>
      <c r="O459" s="2" t="s">
        <v>5969</v>
      </c>
      <c r="P459" s="2" t="s">
        <v>5970</v>
      </c>
      <c r="Q459" s="2" t="s">
        <v>5971</v>
      </c>
      <c r="R459" s="2" t="s">
        <v>5972</v>
      </c>
      <c r="S459" s="2" t="s">
        <v>5973</v>
      </c>
    </row>
    <row customHeight="true" ht="15" r="460">
      <c r="A460" s="2">
        <v>2025</v>
      </c>
      <c r="B460" s="2">
        <v>7</v>
      </c>
      <c r="C460" s="2" t="s">
        <v>5974</v>
      </c>
      <c r="D460" s="2" t="s">
        <v>5975</v>
      </c>
      <c r="E460" s="2" t="s">
        <v>5976</v>
      </c>
      <c r="F460" s="2" t="s">
        <v>5977</v>
      </c>
      <c r="G460" s="2" t="s">
        <v>5978</v>
      </c>
      <c r="H460" s="2" t="s">
        <v>5979</v>
      </c>
      <c r="I460" s="2" t="s">
        <v>5980</v>
      </c>
      <c r="J460" s="2" t="s">
        <v>5981</v>
      </c>
      <c r="K460" s="3">
        <v>298517.61</v>
      </c>
      <c r="L460" s="3">
        <v>309748.49</v>
      </c>
      <c r="M460" s="3">
        <f>L460-K460</f>
      </c>
      <c r="N460" s="4">
        <f>IF(K460=0,0,M460/K460)</f>
      </c>
      <c r="O460" s="2" t="s">
        <v>5982</v>
      </c>
      <c r="P460" s="2" t="s">
        <v>5983</v>
      </c>
      <c r="Q460" s="2" t="s">
        <v>5984</v>
      </c>
      <c r="R460" s="2" t="s">
        <v>5985</v>
      </c>
      <c r="S460" s="2" t="s">
        <v>5986</v>
      </c>
    </row>
    <row customHeight="true" ht="15" r="461">
      <c r="A461" s="2">
        <v>2025</v>
      </c>
      <c r="B461" s="2">
        <v>7</v>
      </c>
      <c r="C461" s="2" t="s">
        <v>5987</v>
      </c>
      <c r="D461" s="2" t="s">
        <v>5988</v>
      </c>
      <c r="E461" s="2" t="s">
        <v>5989</v>
      </c>
      <c r="F461" s="2" t="s">
        <v>5990</v>
      </c>
      <c r="G461" s="2" t="s">
        <v>5991</v>
      </c>
      <c r="H461" s="2" t="s">
        <v>5992</v>
      </c>
      <c r="I461" s="2" t="s">
        <v>5993</v>
      </c>
      <c r="J461" s="2" t="s">
        <v>5994</v>
      </c>
      <c r="K461" s="3">
        <v>140841.95</v>
      </c>
      <c r="L461" s="3">
        <v>132567.81</v>
      </c>
      <c r="M461" s="3">
        <f>L461-K461</f>
      </c>
      <c r="N461" s="4">
        <f>IF(K461=0,0,M461/K461)</f>
      </c>
      <c r="O461" s="2" t="s">
        <v>5995</v>
      </c>
      <c r="P461" s="2" t="s">
        <v>5996</v>
      </c>
      <c r="Q461" s="2" t="s">
        <v>5997</v>
      </c>
      <c r="R461" s="2" t="s">
        <v>5998</v>
      </c>
      <c r="S461" s="2" t="s">
        <v>5999</v>
      </c>
    </row>
    <row customHeight="true" ht="15" r="462">
      <c r="A462" s="2">
        <v>2025</v>
      </c>
      <c r="B462" s="2">
        <v>7</v>
      </c>
      <c r="C462" s="2" t="s">
        <v>6000</v>
      </c>
      <c r="D462" s="2" t="s">
        <v>6001</v>
      </c>
      <c r="E462" s="2" t="s">
        <v>6002</v>
      </c>
      <c r="F462" s="2" t="s">
        <v>6003</v>
      </c>
      <c r="G462" s="2" t="s">
        <v>6004</v>
      </c>
      <c r="H462" s="2" t="s">
        <v>6005</v>
      </c>
      <c r="I462" s="2" t="s">
        <v>6006</v>
      </c>
      <c r="J462" s="2" t="s">
        <v>6007</v>
      </c>
      <c r="K462" s="3">
        <v>247850.42</v>
      </c>
      <c r="L462" s="3">
        <v>257582.71</v>
      </c>
      <c r="M462" s="3">
        <f>L462-K462</f>
      </c>
      <c r="N462" s="4">
        <f>IF(K462=0,0,M462/K462)</f>
      </c>
      <c r="O462" s="2" t="s">
        <v>6008</v>
      </c>
      <c r="P462" s="2" t="s">
        <v>6009</v>
      </c>
      <c r="Q462" s="2" t="s">
        <v>6010</v>
      </c>
      <c r="R462" s="2" t="s">
        <v>6011</v>
      </c>
      <c r="S462" s="2" t="s">
        <v>6012</v>
      </c>
    </row>
    <row customHeight="true" ht="15" r="463">
      <c r="A463" s="2">
        <v>2025</v>
      </c>
      <c r="B463" s="2">
        <v>7</v>
      </c>
      <c r="C463" s="2" t="s">
        <v>6013</v>
      </c>
      <c r="D463" s="2" t="s">
        <v>6014</v>
      </c>
      <c r="E463" s="2" t="s">
        <v>6015</v>
      </c>
      <c r="F463" s="2" t="s">
        <v>6016</v>
      </c>
      <c r="G463" s="2" t="s">
        <v>6017</v>
      </c>
      <c r="H463" s="2" t="s">
        <v>6018</v>
      </c>
      <c r="I463" s="2" t="s">
        <v>6019</v>
      </c>
      <c r="J463" s="2" t="s">
        <v>6020</v>
      </c>
      <c r="K463" s="3">
        <v>161377.21</v>
      </c>
      <c r="L463" s="3">
        <v>192435.56</v>
      </c>
      <c r="M463" s="3">
        <f>L463-K463</f>
      </c>
      <c r="N463" s="4">
        <f>IF(K463=0,0,M463/K463)</f>
      </c>
      <c r="O463" s="2" t="s">
        <v>6021</v>
      </c>
      <c r="P463" s="2" t="s">
        <v>6022</v>
      </c>
      <c r="Q463" s="2" t="s">
        <v>6023</v>
      </c>
      <c r="R463" s="2" t="s">
        <v>6024</v>
      </c>
      <c r="S463" s="2" t="s">
        <v>6025</v>
      </c>
    </row>
    <row customHeight="true" ht="15" r="464">
      <c r="A464" s="2">
        <v>2025</v>
      </c>
      <c r="B464" s="2">
        <v>7</v>
      </c>
      <c r="C464" s="2" t="s">
        <v>6026</v>
      </c>
      <c r="D464" s="2" t="s">
        <v>6027</v>
      </c>
      <c r="E464" s="2" t="s">
        <v>6028</v>
      </c>
      <c r="F464" s="2" t="s">
        <v>6029</v>
      </c>
      <c r="G464" s="2" t="s">
        <v>6030</v>
      </c>
      <c r="H464" s="2" t="s">
        <v>6031</v>
      </c>
      <c r="I464" s="2" t="s">
        <v>6032</v>
      </c>
      <c r="J464" s="2" t="s">
        <v>6033</v>
      </c>
      <c r="K464" s="3">
        <v>23364.64</v>
      </c>
      <c r="L464" s="3">
        <v>19580.64</v>
      </c>
      <c r="M464" s="3">
        <f>L464-K464</f>
      </c>
      <c r="N464" s="4">
        <f>IF(K464=0,0,M464/K464)</f>
      </c>
      <c r="O464" s="2" t="s">
        <v>6034</v>
      </c>
      <c r="P464" s="2" t="s">
        <v>6035</v>
      </c>
      <c r="Q464" s="2" t="s">
        <v>6036</v>
      </c>
      <c r="R464" s="2" t="s">
        <v>6037</v>
      </c>
      <c r="S464" s="2" t="s">
        <v>6038</v>
      </c>
    </row>
    <row customHeight="true" ht="15" r="465">
      <c r="A465" s="2">
        <v>2025</v>
      </c>
      <c r="B465" s="2">
        <v>7</v>
      </c>
      <c r="C465" s="2" t="s">
        <v>6039</v>
      </c>
      <c r="D465" s="2" t="s">
        <v>6040</v>
      </c>
      <c r="E465" s="2" t="s">
        <v>6041</v>
      </c>
      <c r="F465" s="2" t="s">
        <v>6042</v>
      </c>
      <c r="G465" s="2" t="s">
        <v>6043</v>
      </c>
      <c r="H465" s="2" t="s">
        <v>6044</v>
      </c>
      <c r="I465" s="2" t="s">
        <v>6045</v>
      </c>
      <c r="J465" s="2" t="s">
        <v>6046</v>
      </c>
      <c r="K465" s="3">
        <v>110190.75</v>
      </c>
      <c r="L465" s="3">
        <v>140345.58</v>
      </c>
      <c r="M465" s="3">
        <f>L465-K465</f>
      </c>
      <c r="N465" s="4">
        <f>IF(K465=0,0,M465/K465)</f>
      </c>
      <c r="O465" s="2" t="s">
        <v>6047</v>
      </c>
      <c r="P465" s="2" t="s">
        <v>6048</v>
      </c>
      <c r="Q465" s="2" t="s">
        <v>6049</v>
      </c>
      <c r="R465" s="2" t="s">
        <v>6050</v>
      </c>
      <c r="S465" s="2" t="s">
        <v>6051</v>
      </c>
    </row>
    <row customHeight="true" ht="15" r="466">
      <c r="A466" s="2">
        <v>2025</v>
      </c>
      <c r="B466" s="2">
        <v>7</v>
      </c>
      <c r="C466" s="2" t="s">
        <v>6052</v>
      </c>
      <c r="D466" s="2" t="s">
        <v>6053</v>
      </c>
      <c r="E466" s="2" t="s">
        <v>6054</v>
      </c>
      <c r="F466" s="2" t="s">
        <v>6055</v>
      </c>
      <c r="G466" s="2" t="s">
        <v>6056</v>
      </c>
      <c r="H466" s="2" t="s">
        <v>6057</v>
      </c>
      <c r="I466" s="2" t="s">
        <v>6058</v>
      </c>
      <c r="J466" s="2" t="s">
        <v>6059</v>
      </c>
      <c r="K466" s="3">
        <v>43968.34</v>
      </c>
      <c r="L466" s="3">
        <v>47556.72</v>
      </c>
      <c r="M466" s="3">
        <f>L466-K466</f>
      </c>
      <c r="N466" s="4">
        <f>IF(K466=0,0,M466/K466)</f>
      </c>
      <c r="O466" s="2" t="s">
        <v>6060</v>
      </c>
      <c r="P466" s="2" t="s">
        <v>6061</v>
      </c>
      <c r="Q466" s="2" t="s">
        <v>6062</v>
      </c>
      <c r="R466" s="2" t="s">
        <v>6063</v>
      </c>
      <c r="S466" s="2" t="s">
        <v>6064</v>
      </c>
    </row>
    <row customHeight="true" ht="15" r="467">
      <c r="A467" s="2">
        <v>2025</v>
      </c>
      <c r="B467" s="2">
        <v>8</v>
      </c>
      <c r="C467" s="2" t="s">
        <v>6065</v>
      </c>
      <c r="D467" s="2" t="s">
        <v>6066</v>
      </c>
      <c r="E467" s="2" t="s">
        <v>6067</v>
      </c>
      <c r="F467" s="2" t="s">
        <v>6068</v>
      </c>
      <c r="G467" s="2" t="s">
        <v>6069</v>
      </c>
      <c r="H467" s="2" t="s">
        <v>6070</v>
      </c>
      <c r="I467" s="2" t="s">
        <v>6071</v>
      </c>
      <c r="J467" s="2" t="s">
        <v>6072</v>
      </c>
      <c r="K467" s="3">
        <v>400498.75</v>
      </c>
      <c r="L467" s="3">
        <v>328102.05</v>
      </c>
      <c r="M467" s="3">
        <f>L467-K467</f>
      </c>
      <c r="N467" s="4">
        <f>IF(K467=0,0,M467/K467)</f>
      </c>
      <c r="O467" s="2" t="s">
        <v>6073</v>
      </c>
      <c r="P467" s="2" t="s">
        <v>6074</v>
      </c>
      <c r="Q467" s="2" t="s">
        <v>6075</v>
      </c>
      <c r="R467" s="2" t="s">
        <v>6076</v>
      </c>
      <c r="S467" s="2" t="s">
        <v>6077</v>
      </c>
    </row>
    <row customHeight="true" ht="15" r="468">
      <c r="A468" s="2">
        <v>2025</v>
      </c>
      <c r="B468" s="2">
        <v>8</v>
      </c>
      <c r="C468" s="2" t="s">
        <v>6078</v>
      </c>
      <c r="D468" s="2" t="s">
        <v>6079</v>
      </c>
      <c r="E468" s="2" t="s">
        <v>6080</v>
      </c>
      <c r="F468" s="2" t="s">
        <v>6081</v>
      </c>
      <c r="G468" s="2" t="s">
        <v>6082</v>
      </c>
      <c r="H468" s="2" t="s">
        <v>6083</v>
      </c>
      <c r="I468" s="2" t="s">
        <v>6084</v>
      </c>
      <c r="J468" s="2" t="s">
        <v>6085</v>
      </c>
      <c r="K468" s="3">
        <v>441620.79</v>
      </c>
      <c r="L468" s="3">
        <v>477548.14</v>
      </c>
      <c r="M468" s="3">
        <f>L468-K468</f>
      </c>
      <c r="N468" s="4">
        <f>IF(K468=0,0,M468/K468)</f>
      </c>
      <c r="O468" s="2" t="s">
        <v>6086</v>
      </c>
      <c r="P468" s="2" t="s">
        <v>6087</v>
      </c>
      <c r="Q468" s="2" t="s">
        <v>6088</v>
      </c>
      <c r="R468" s="2" t="s">
        <v>6089</v>
      </c>
      <c r="S468" s="2" t="s">
        <v>6090</v>
      </c>
    </row>
    <row customHeight="true" ht="15" r="469">
      <c r="A469" s="2">
        <v>2025</v>
      </c>
      <c r="B469" s="2">
        <v>8</v>
      </c>
      <c r="C469" s="2" t="s">
        <v>6091</v>
      </c>
      <c r="D469" s="2" t="s">
        <v>6092</v>
      </c>
      <c r="E469" s="2" t="s">
        <v>6093</v>
      </c>
      <c r="F469" s="2" t="s">
        <v>6094</v>
      </c>
      <c r="G469" s="2" t="s">
        <v>6095</v>
      </c>
      <c r="H469" s="2" t="s">
        <v>6096</v>
      </c>
      <c r="I469" s="2" t="s">
        <v>6097</v>
      </c>
      <c r="J469" s="2" t="s">
        <v>6098</v>
      </c>
      <c r="K469" s="3">
        <v>75344.76</v>
      </c>
      <c r="L469" s="3">
        <v>72681.06</v>
      </c>
      <c r="M469" s="3">
        <f>L469-K469</f>
      </c>
      <c r="N469" s="4">
        <f>IF(K469=0,0,M469/K469)</f>
      </c>
      <c r="O469" s="2" t="s">
        <v>6099</v>
      </c>
      <c r="P469" s="2" t="s">
        <v>6100</v>
      </c>
      <c r="Q469" s="2" t="s">
        <v>6101</v>
      </c>
      <c r="R469" s="2" t="s">
        <v>6102</v>
      </c>
      <c r="S469" s="2" t="s">
        <v>6103</v>
      </c>
    </row>
    <row customHeight="true" ht="15" r="470">
      <c r="A470" s="2">
        <v>2025</v>
      </c>
      <c r="B470" s="2">
        <v>8</v>
      </c>
      <c r="C470" s="2" t="s">
        <v>6104</v>
      </c>
      <c r="D470" s="2" t="s">
        <v>6105</v>
      </c>
      <c r="E470" s="2" t="s">
        <v>6106</v>
      </c>
      <c r="F470" s="2" t="s">
        <v>6107</v>
      </c>
      <c r="G470" s="2" t="s">
        <v>6108</v>
      </c>
      <c r="H470" s="2" t="s">
        <v>6109</v>
      </c>
      <c r="I470" s="2" t="s">
        <v>6110</v>
      </c>
      <c r="J470" s="2" t="s">
        <v>6111</v>
      </c>
      <c r="K470" s="3">
        <v>182435.06</v>
      </c>
      <c r="L470" s="3">
        <v>167350.91</v>
      </c>
      <c r="M470" s="3">
        <f>L470-K470</f>
      </c>
      <c r="N470" s="4">
        <f>IF(K470=0,0,M470/K470)</f>
      </c>
      <c r="O470" s="2" t="s">
        <v>6112</v>
      </c>
      <c r="P470" s="2" t="s">
        <v>6113</v>
      </c>
      <c r="Q470" s="2" t="s">
        <v>6114</v>
      </c>
      <c r="R470" s="2" t="s">
        <v>6115</v>
      </c>
      <c r="S470" s="2" t="s">
        <v>6116</v>
      </c>
    </row>
    <row customHeight="true" ht="15" r="471">
      <c r="A471" s="2">
        <v>2025</v>
      </c>
      <c r="B471" s="2">
        <v>8</v>
      </c>
      <c r="C471" s="2" t="s">
        <v>6117</v>
      </c>
      <c r="D471" s="2" t="s">
        <v>6118</v>
      </c>
      <c r="E471" s="2" t="s">
        <v>6119</v>
      </c>
      <c r="F471" s="2" t="s">
        <v>6120</v>
      </c>
      <c r="G471" s="2" t="s">
        <v>6121</v>
      </c>
      <c r="H471" s="2" t="s">
        <v>6122</v>
      </c>
      <c r="I471" s="2" t="s">
        <v>6123</v>
      </c>
      <c r="J471" s="2" t="s">
        <v>6124</v>
      </c>
      <c r="K471" s="3">
        <v>171759.52</v>
      </c>
      <c r="L471" s="3">
        <v>189398.41</v>
      </c>
      <c r="M471" s="3">
        <f>L471-K471</f>
      </c>
      <c r="N471" s="4">
        <f>IF(K471=0,0,M471/K471)</f>
      </c>
      <c r="O471" s="2" t="s">
        <v>6125</v>
      </c>
      <c r="P471" s="2" t="s">
        <v>6126</v>
      </c>
      <c r="Q471" s="2" t="s">
        <v>6127</v>
      </c>
      <c r="R471" s="2" t="s">
        <v>6128</v>
      </c>
      <c r="S471" s="2" t="s">
        <v>6129</v>
      </c>
    </row>
    <row customHeight="true" ht="15" r="472">
      <c r="A472" s="2">
        <v>2025</v>
      </c>
      <c r="B472" s="2">
        <v>8</v>
      </c>
      <c r="C472" s="2" t="s">
        <v>6130</v>
      </c>
      <c r="D472" s="2" t="s">
        <v>6131</v>
      </c>
      <c r="E472" s="2" t="s">
        <v>6132</v>
      </c>
      <c r="F472" s="2" t="s">
        <v>6133</v>
      </c>
      <c r="G472" s="2" t="s">
        <v>6134</v>
      </c>
      <c r="H472" s="2" t="s">
        <v>6135</v>
      </c>
      <c r="I472" s="2" t="s">
        <v>6136</v>
      </c>
      <c r="J472" s="2" t="s">
        <v>6137</v>
      </c>
      <c r="K472" s="3">
        <v>194878.52</v>
      </c>
      <c r="L472" s="3">
        <v>224150.03</v>
      </c>
      <c r="M472" s="3">
        <f>L472-K472</f>
      </c>
      <c r="N472" s="4">
        <f>IF(K472=0,0,M472/K472)</f>
      </c>
      <c r="O472" s="2" t="s">
        <v>6138</v>
      </c>
      <c r="P472" s="2" t="s">
        <v>6139</v>
      </c>
      <c r="Q472" s="2" t="s">
        <v>6140</v>
      </c>
      <c r="R472" s="2" t="s">
        <v>6141</v>
      </c>
      <c r="S472" s="2" t="s">
        <v>6142</v>
      </c>
    </row>
    <row customHeight="true" ht="15" r="473">
      <c r="A473" s="2">
        <v>2025</v>
      </c>
      <c r="B473" s="2">
        <v>8</v>
      </c>
      <c r="C473" s="2" t="s">
        <v>6143</v>
      </c>
      <c r="D473" s="2" t="s">
        <v>6144</v>
      </c>
      <c r="E473" s="2" t="s">
        <v>6145</v>
      </c>
      <c r="F473" s="2" t="s">
        <v>6146</v>
      </c>
      <c r="G473" s="2" t="s">
        <v>6147</v>
      </c>
      <c r="H473" s="2" t="s">
        <v>6148</v>
      </c>
      <c r="I473" s="2" t="s">
        <v>6149</v>
      </c>
      <c r="J473" s="2" t="s">
        <v>6150</v>
      </c>
      <c r="K473" s="3">
        <v>123558.84</v>
      </c>
      <c r="L473" s="3">
        <v>140929.5</v>
      </c>
      <c r="M473" s="3">
        <f>L473-K473</f>
      </c>
      <c r="N473" s="4">
        <f>IF(K473=0,0,M473/K473)</f>
      </c>
      <c r="O473" s="2" t="s">
        <v>6151</v>
      </c>
      <c r="P473" s="2" t="s">
        <v>6152</v>
      </c>
      <c r="Q473" s="2" t="s">
        <v>6153</v>
      </c>
      <c r="R473" s="2" t="s">
        <v>6154</v>
      </c>
      <c r="S473" s="2" t="s">
        <v>6155</v>
      </c>
    </row>
    <row customHeight="true" ht="15" r="474">
      <c r="A474" s="2">
        <v>2025</v>
      </c>
      <c r="B474" s="2">
        <v>8</v>
      </c>
      <c r="C474" s="2" t="s">
        <v>6156</v>
      </c>
      <c r="D474" s="2" t="s">
        <v>6157</v>
      </c>
      <c r="E474" s="2" t="s">
        <v>6158</v>
      </c>
      <c r="F474" s="2" t="s">
        <v>6159</v>
      </c>
      <c r="G474" s="2" t="s">
        <v>6160</v>
      </c>
      <c r="H474" s="2" t="s">
        <v>6161</v>
      </c>
      <c r="I474" s="2" t="s">
        <v>6162</v>
      </c>
      <c r="J474" s="2" t="s">
        <v>6163</v>
      </c>
      <c r="K474" s="3">
        <v>153625.83</v>
      </c>
      <c r="L474" s="3">
        <v>124182.9</v>
      </c>
      <c r="M474" s="3">
        <f>L474-K474</f>
      </c>
      <c r="N474" s="4">
        <f>IF(K474=0,0,M474/K474)</f>
      </c>
      <c r="O474" s="2" t="s">
        <v>6164</v>
      </c>
      <c r="P474" s="2" t="s">
        <v>6165</v>
      </c>
      <c r="Q474" s="2" t="s">
        <v>6166</v>
      </c>
      <c r="R474" s="2" t="s">
        <v>6167</v>
      </c>
      <c r="S474" s="2" t="s">
        <v>6168</v>
      </c>
    </row>
    <row customHeight="true" ht="15" r="475">
      <c r="A475" s="2">
        <v>2025</v>
      </c>
      <c r="B475" s="2">
        <v>8</v>
      </c>
      <c r="C475" s="2" t="s">
        <v>6169</v>
      </c>
      <c r="D475" s="2" t="s">
        <v>6170</v>
      </c>
      <c r="E475" s="2" t="s">
        <v>6171</v>
      </c>
      <c r="F475" s="2" t="s">
        <v>6172</v>
      </c>
      <c r="G475" s="2" t="s">
        <v>6173</v>
      </c>
      <c r="H475" s="2" t="s">
        <v>6174</v>
      </c>
      <c r="I475" s="2" t="s">
        <v>6175</v>
      </c>
      <c r="J475" s="2" t="s">
        <v>6176</v>
      </c>
      <c r="K475" s="3">
        <v>325097.56</v>
      </c>
      <c r="L475" s="3">
        <v>327186.3</v>
      </c>
      <c r="M475" s="3">
        <f>L475-K475</f>
      </c>
      <c r="N475" s="4">
        <f>IF(K475=0,0,M475/K475)</f>
      </c>
      <c r="O475" s="2" t="s">
        <v>6177</v>
      </c>
      <c r="P475" s="2" t="s">
        <v>6178</v>
      </c>
      <c r="Q475" s="2" t="s">
        <v>6179</v>
      </c>
      <c r="R475" s="2" t="s">
        <v>6180</v>
      </c>
      <c r="S475" s="2" t="s">
        <v>6181</v>
      </c>
    </row>
    <row customHeight="true" ht="15" r="476">
      <c r="A476" s="2">
        <v>2025</v>
      </c>
      <c r="B476" s="2">
        <v>8</v>
      </c>
      <c r="C476" s="2" t="s">
        <v>6182</v>
      </c>
      <c r="D476" s="2" t="s">
        <v>6183</v>
      </c>
      <c r="E476" s="2" t="s">
        <v>6184</v>
      </c>
      <c r="F476" s="2" t="s">
        <v>6185</v>
      </c>
      <c r="G476" s="2" t="s">
        <v>6186</v>
      </c>
      <c r="H476" s="2" t="s">
        <v>6187</v>
      </c>
      <c r="I476" s="2" t="s">
        <v>6188</v>
      </c>
      <c r="J476" s="2" t="s">
        <v>6189</v>
      </c>
      <c r="K476" s="3">
        <v>265468.47</v>
      </c>
      <c r="L476" s="3">
        <v>282514.3</v>
      </c>
      <c r="M476" s="3">
        <f>L476-K476</f>
      </c>
      <c r="N476" s="4">
        <f>IF(K476=0,0,M476/K476)</f>
      </c>
      <c r="O476" s="2" t="s">
        <v>6190</v>
      </c>
      <c r="P476" s="2" t="s">
        <v>6191</v>
      </c>
      <c r="Q476" s="2" t="s">
        <v>6192</v>
      </c>
      <c r="R476" s="2" t="s">
        <v>6193</v>
      </c>
      <c r="S476" s="2" t="s">
        <v>6194</v>
      </c>
    </row>
    <row customHeight="true" ht="15" r="477">
      <c r="A477" s="2">
        <v>2025</v>
      </c>
      <c r="B477" s="2">
        <v>8</v>
      </c>
      <c r="C477" s="2" t="s">
        <v>6195</v>
      </c>
      <c r="D477" s="2" t="s">
        <v>6196</v>
      </c>
      <c r="E477" s="2" t="s">
        <v>6197</v>
      </c>
      <c r="F477" s="2" t="s">
        <v>6198</v>
      </c>
      <c r="G477" s="2" t="s">
        <v>6199</v>
      </c>
      <c r="H477" s="2" t="s">
        <v>6200</v>
      </c>
      <c r="I477" s="2" t="s">
        <v>6201</v>
      </c>
      <c r="J477" s="2" t="s">
        <v>6202</v>
      </c>
      <c r="K477" s="3">
        <v>142945.97</v>
      </c>
      <c r="L477" s="3">
        <v>157405.44</v>
      </c>
      <c r="M477" s="3">
        <f>L477-K477</f>
      </c>
      <c r="N477" s="4">
        <f>IF(K477=0,0,M477/K477)</f>
      </c>
      <c r="O477" s="2" t="s">
        <v>6203</v>
      </c>
      <c r="P477" s="2" t="s">
        <v>6204</v>
      </c>
      <c r="Q477" s="2" t="s">
        <v>6205</v>
      </c>
      <c r="R477" s="2" t="s">
        <v>6206</v>
      </c>
      <c r="S477" s="2" t="s">
        <v>6207</v>
      </c>
    </row>
    <row customHeight="true" ht="15" r="478">
      <c r="A478" s="2">
        <v>2025</v>
      </c>
      <c r="B478" s="2">
        <v>8</v>
      </c>
      <c r="C478" s="2" t="s">
        <v>6208</v>
      </c>
      <c r="D478" s="2" t="s">
        <v>6209</v>
      </c>
      <c r="E478" s="2" t="s">
        <v>6210</v>
      </c>
      <c r="F478" s="2" t="s">
        <v>6211</v>
      </c>
      <c r="G478" s="2" t="s">
        <v>6212</v>
      </c>
      <c r="H478" s="2" t="s">
        <v>6213</v>
      </c>
      <c r="I478" s="2" t="s">
        <v>6214</v>
      </c>
      <c r="J478" s="2" t="s">
        <v>6215</v>
      </c>
      <c r="K478" s="3">
        <v>114452.39</v>
      </c>
      <c r="L478" s="3">
        <v>143034.4</v>
      </c>
      <c r="M478" s="3">
        <f>L478-K478</f>
      </c>
      <c r="N478" s="4">
        <f>IF(K478=0,0,M478/K478)</f>
      </c>
      <c r="O478" s="2" t="s">
        <v>6216</v>
      </c>
      <c r="P478" s="2" t="s">
        <v>6217</v>
      </c>
      <c r="Q478" s="2" t="s">
        <v>6218</v>
      </c>
      <c r="R478" s="2" t="s">
        <v>6219</v>
      </c>
      <c r="S478" s="2" t="s">
        <v>6220</v>
      </c>
    </row>
    <row customHeight="true" ht="15" r="479">
      <c r="A479" s="2">
        <v>2025</v>
      </c>
      <c r="B479" s="2">
        <v>8</v>
      </c>
      <c r="C479" s="2" t="s">
        <v>6221</v>
      </c>
      <c r="D479" s="2" t="s">
        <v>6222</v>
      </c>
      <c r="E479" s="2" t="s">
        <v>6223</v>
      </c>
      <c r="F479" s="2" t="s">
        <v>6224</v>
      </c>
      <c r="G479" s="2" t="s">
        <v>6225</v>
      </c>
      <c r="H479" s="2" t="s">
        <v>6226</v>
      </c>
      <c r="I479" s="2" t="s">
        <v>6227</v>
      </c>
      <c r="J479" s="2" t="s">
        <v>6228</v>
      </c>
      <c r="K479" s="3">
        <v>378229.19</v>
      </c>
      <c r="L479" s="3">
        <v>409798.69</v>
      </c>
      <c r="M479" s="3">
        <f>L479-K479</f>
      </c>
      <c r="N479" s="4">
        <f>IF(K479=0,0,M479/K479)</f>
      </c>
      <c r="O479" s="2" t="s">
        <v>6229</v>
      </c>
      <c r="P479" s="2" t="s">
        <v>6230</v>
      </c>
      <c r="Q479" s="2" t="s">
        <v>6231</v>
      </c>
      <c r="R479" s="2" t="s">
        <v>6232</v>
      </c>
      <c r="S479" s="2" t="s">
        <v>6233</v>
      </c>
    </row>
    <row customHeight="true" ht="15" r="480">
      <c r="A480" s="2">
        <v>2025</v>
      </c>
      <c r="B480" s="2">
        <v>8</v>
      </c>
      <c r="C480" s="2" t="s">
        <v>6234</v>
      </c>
      <c r="D480" s="2" t="s">
        <v>6235</v>
      </c>
      <c r="E480" s="2" t="s">
        <v>6236</v>
      </c>
      <c r="F480" s="2" t="s">
        <v>6237</v>
      </c>
      <c r="G480" s="2" t="s">
        <v>6238</v>
      </c>
      <c r="H480" s="2" t="s">
        <v>6239</v>
      </c>
      <c r="I480" s="2" t="s">
        <v>6240</v>
      </c>
      <c r="J480" s="2" t="s">
        <v>6241</v>
      </c>
      <c r="K480" s="3">
        <v>38478.72</v>
      </c>
      <c r="L480" s="3">
        <v>43462.92</v>
      </c>
      <c r="M480" s="3">
        <f>L480-K480</f>
      </c>
      <c r="N480" s="4">
        <f>IF(K480=0,0,M480/K480)</f>
      </c>
      <c r="O480" s="2" t="s">
        <v>6242</v>
      </c>
      <c r="P480" s="2" t="s">
        <v>6243</v>
      </c>
      <c r="Q480" s="2" t="s">
        <v>6244</v>
      </c>
      <c r="R480" s="2" t="s">
        <v>6245</v>
      </c>
      <c r="S480" s="2" t="s">
        <v>6246</v>
      </c>
    </row>
    <row customHeight="true" ht="15" r="481">
      <c r="A481" s="2">
        <v>2025</v>
      </c>
      <c r="B481" s="2">
        <v>8</v>
      </c>
      <c r="C481" s="2" t="s">
        <v>6247</v>
      </c>
      <c r="D481" s="2" t="s">
        <v>6248</v>
      </c>
      <c r="E481" s="2" t="s">
        <v>6249</v>
      </c>
      <c r="F481" s="2" t="s">
        <v>6250</v>
      </c>
      <c r="G481" s="2" t="s">
        <v>6251</v>
      </c>
      <c r="H481" s="2" t="s">
        <v>6252</v>
      </c>
      <c r="I481" s="2" t="s">
        <v>6253</v>
      </c>
      <c r="J481" s="2" t="s">
        <v>6254</v>
      </c>
      <c r="K481" s="3">
        <v>177655.88</v>
      </c>
      <c r="L481" s="3">
        <v>181429.82</v>
      </c>
      <c r="M481" s="3">
        <f>L481-K481</f>
      </c>
      <c r="N481" s="4">
        <f>IF(K481=0,0,M481/K481)</f>
      </c>
      <c r="O481" s="2" t="s">
        <v>6255</v>
      </c>
      <c r="P481" s="2" t="s">
        <v>6256</v>
      </c>
      <c r="Q481" s="2" t="s">
        <v>6257</v>
      </c>
      <c r="R481" s="2" t="s">
        <v>6258</v>
      </c>
      <c r="S481" s="2" t="s">
        <v>6259</v>
      </c>
    </row>
    <row customHeight="true" ht="15" r="482">
      <c r="A482" s="2">
        <v>2025</v>
      </c>
      <c r="B482" s="2">
        <v>9</v>
      </c>
      <c r="C482" s="2" t="s">
        <v>6260</v>
      </c>
      <c r="D482" s="2" t="s">
        <v>6261</v>
      </c>
      <c r="E482" s="2" t="s">
        <v>6262</v>
      </c>
      <c r="F482" s="2" t="s">
        <v>6263</v>
      </c>
      <c r="G482" s="2" t="s">
        <v>6264</v>
      </c>
      <c r="H482" s="2" t="s">
        <v>6265</v>
      </c>
      <c r="I482" s="2" t="s">
        <v>6266</v>
      </c>
      <c r="J482" s="2" t="s">
        <v>6267</v>
      </c>
      <c r="K482" s="3">
        <v>115664.38</v>
      </c>
      <c r="L482" s="3">
        <v>114006.71</v>
      </c>
      <c r="M482" s="3">
        <f>L482-K482</f>
      </c>
      <c r="N482" s="4">
        <f>IF(K482=0,0,M482/K482)</f>
      </c>
      <c r="O482" s="2" t="s">
        <v>6268</v>
      </c>
      <c r="P482" s="2" t="s">
        <v>6269</v>
      </c>
      <c r="Q482" s="2" t="s">
        <v>6270</v>
      </c>
      <c r="R482" s="2" t="s">
        <v>6271</v>
      </c>
      <c r="S482" s="2" t="s">
        <v>6272</v>
      </c>
    </row>
    <row customHeight="true" ht="15" r="483">
      <c r="A483" s="2">
        <v>2025</v>
      </c>
      <c r="B483" s="2">
        <v>9</v>
      </c>
      <c r="C483" s="2" t="s">
        <v>6273</v>
      </c>
      <c r="D483" s="2" t="s">
        <v>6274</v>
      </c>
      <c r="E483" s="2" t="s">
        <v>6275</v>
      </c>
      <c r="F483" s="2" t="s">
        <v>6276</v>
      </c>
      <c r="G483" s="2" t="s">
        <v>6277</v>
      </c>
      <c r="H483" s="2" t="s">
        <v>6278</v>
      </c>
      <c r="I483" s="2" t="s">
        <v>6279</v>
      </c>
      <c r="J483" s="2" t="s">
        <v>6280</v>
      </c>
      <c r="K483" s="3">
        <v>176864.89</v>
      </c>
      <c r="L483" s="3">
        <v>159371.31</v>
      </c>
      <c r="M483" s="3">
        <f>L483-K483</f>
      </c>
      <c r="N483" s="4">
        <f>IF(K483=0,0,M483/K483)</f>
      </c>
      <c r="O483" s="2" t="s">
        <v>6281</v>
      </c>
      <c r="P483" s="2" t="s">
        <v>6282</v>
      </c>
      <c r="Q483" s="2" t="s">
        <v>6283</v>
      </c>
      <c r="R483" s="2" t="s">
        <v>6284</v>
      </c>
      <c r="S483" s="2" t="s">
        <v>6285</v>
      </c>
    </row>
    <row customHeight="true" ht="15" r="484">
      <c r="A484" s="2">
        <v>2025</v>
      </c>
      <c r="B484" s="2">
        <v>9</v>
      </c>
      <c r="C484" s="2" t="s">
        <v>6286</v>
      </c>
      <c r="D484" s="2" t="s">
        <v>6287</v>
      </c>
      <c r="E484" s="2" t="s">
        <v>6288</v>
      </c>
      <c r="F484" s="2" t="s">
        <v>6289</v>
      </c>
      <c r="G484" s="2" t="s">
        <v>6290</v>
      </c>
      <c r="H484" s="2" t="s">
        <v>6291</v>
      </c>
      <c r="I484" s="2" t="s">
        <v>6292</v>
      </c>
      <c r="J484" s="2" t="s">
        <v>6293</v>
      </c>
      <c r="K484" s="3">
        <v>182407.43</v>
      </c>
      <c r="L484" s="3">
        <v>231751.82</v>
      </c>
      <c r="M484" s="3">
        <f>L484-K484</f>
      </c>
      <c r="N484" s="4">
        <f>IF(K484=0,0,M484/K484)</f>
      </c>
      <c r="O484" s="2" t="s">
        <v>6294</v>
      </c>
      <c r="P484" s="2" t="s">
        <v>6295</v>
      </c>
      <c r="Q484" s="2" t="s">
        <v>6296</v>
      </c>
      <c r="R484" s="2" t="s">
        <v>6297</v>
      </c>
      <c r="S484" s="2" t="s">
        <v>6298</v>
      </c>
    </row>
    <row customHeight="true" ht="15" r="485">
      <c r="A485" s="2">
        <v>2025</v>
      </c>
      <c r="B485" s="2">
        <v>9</v>
      </c>
      <c r="C485" s="2" t="s">
        <v>6299</v>
      </c>
      <c r="D485" s="2" t="s">
        <v>6300</v>
      </c>
      <c r="E485" s="2" t="s">
        <v>6301</v>
      </c>
      <c r="F485" s="2" t="s">
        <v>6302</v>
      </c>
      <c r="G485" s="2" t="s">
        <v>6303</v>
      </c>
      <c r="H485" s="2" t="s">
        <v>6304</v>
      </c>
      <c r="I485" s="2" t="s">
        <v>6305</v>
      </c>
      <c r="J485" s="2" t="s">
        <v>6306</v>
      </c>
      <c r="K485" s="3">
        <v>111225.9</v>
      </c>
      <c r="L485" s="3">
        <v>143319.31</v>
      </c>
      <c r="M485" s="3">
        <f>L485-K485</f>
      </c>
      <c r="N485" s="4">
        <f>IF(K485=0,0,M485/K485)</f>
      </c>
      <c r="O485" s="2" t="s">
        <v>6307</v>
      </c>
      <c r="P485" s="2" t="s">
        <v>6308</v>
      </c>
      <c r="Q485" s="2" t="s">
        <v>6309</v>
      </c>
      <c r="R485" s="2" t="s">
        <v>6310</v>
      </c>
      <c r="S485" s="2" t="s">
        <v>6311</v>
      </c>
    </row>
    <row customHeight="true" ht="15" r="486">
      <c r="A486" s="2">
        <v>2025</v>
      </c>
      <c r="B486" s="2">
        <v>9</v>
      </c>
      <c r="C486" s="2" t="s">
        <v>6312</v>
      </c>
      <c r="D486" s="2" t="s">
        <v>6313</v>
      </c>
      <c r="E486" s="2" t="s">
        <v>6314</v>
      </c>
      <c r="F486" s="2" t="s">
        <v>6315</v>
      </c>
      <c r="G486" s="2" t="s">
        <v>6316</v>
      </c>
      <c r="H486" s="2" t="s">
        <v>6317</v>
      </c>
      <c r="I486" s="2" t="s">
        <v>6318</v>
      </c>
      <c r="J486" s="2" t="s">
        <v>6319</v>
      </c>
      <c r="K486" s="3">
        <v>88903.59</v>
      </c>
      <c r="L486" s="3">
        <v>107726.94</v>
      </c>
      <c r="M486" s="3">
        <f>L486-K486</f>
      </c>
      <c r="N486" s="4">
        <f>IF(K486=0,0,M486/K486)</f>
      </c>
      <c r="O486" s="2" t="s">
        <v>6320</v>
      </c>
      <c r="P486" s="2" t="s">
        <v>6321</v>
      </c>
      <c r="Q486" s="2" t="s">
        <v>6322</v>
      </c>
      <c r="R486" s="2" t="s">
        <v>6323</v>
      </c>
      <c r="S486" s="2" t="s">
        <v>6324</v>
      </c>
    </row>
    <row customHeight="true" ht="15" r="487">
      <c r="A487" s="2">
        <v>2025</v>
      </c>
      <c r="B487" s="2">
        <v>9</v>
      </c>
      <c r="C487" s="2" t="s">
        <v>6325</v>
      </c>
      <c r="D487" s="2" t="s">
        <v>6326</v>
      </c>
      <c r="E487" s="2" t="s">
        <v>6327</v>
      </c>
      <c r="F487" s="2" t="s">
        <v>6328</v>
      </c>
      <c r="G487" s="2" t="s">
        <v>6329</v>
      </c>
      <c r="H487" s="2" t="s">
        <v>6330</v>
      </c>
      <c r="I487" s="2" t="s">
        <v>6331</v>
      </c>
      <c r="J487" s="2" t="s">
        <v>6332</v>
      </c>
      <c r="K487" s="3">
        <v>327801.7</v>
      </c>
      <c r="L487" s="3">
        <v>338615.04</v>
      </c>
      <c r="M487" s="3">
        <f>L487-K487</f>
      </c>
      <c r="N487" s="4">
        <f>IF(K487=0,0,M487/K487)</f>
      </c>
      <c r="O487" s="2" t="s">
        <v>6333</v>
      </c>
      <c r="P487" s="2" t="s">
        <v>6334</v>
      </c>
      <c r="Q487" s="2" t="s">
        <v>6335</v>
      </c>
      <c r="R487" s="2" t="s">
        <v>6336</v>
      </c>
      <c r="S487" s="2" t="s">
        <v>6337</v>
      </c>
    </row>
    <row customHeight="true" ht="15" r="488">
      <c r="A488" s="2">
        <v>2025</v>
      </c>
      <c r="B488" s="2">
        <v>9</v>
      </c>
      <c r="C488" s="2" t="s">
        <v>6338</v>
      </c>
      <c r="D488" s="2" t="s">
        <v>6339</v>
      </c>
      <c r="E488" s="2" t="s">
        <v>6340</v>
      </c>
      <c r="F488" s="2" t="s">
        <v>6341</v>
      </c>
      <c r="G488" s="2" t="s">
        <v>6342</v>
      </c>
      <c r="H488" s="2" t="s">
        <v>6343</v>
      </c>
      <c r="I488" s="2" t="s">
        <v>6344</v>
      </c>
      <c r="J488" s="2" t="s">
        <v>6345</v>
      </c>
      <c r="K488" s="3">
        <v>499743.17</v>
      </c>
      <c r="L488" s="3">
        <v>457934.04</v>
      </c>
      <c r="M488" s="3">
        <f>L488-K488</f>
      </c>
      <c r="N488" s="4">
        <f>IF(K488=0,0,M488/K488)</f>
      </c>
      <c r="O488" s="2" t="s">
        <v>6346</v>
      </c>
      <c r="P488" s="2" t="s">
        <v>6347</v>
      </c>
      <c r="Q488" s="2" t="s">
        <v>6348</v>
      </c>
      <c r="R488" s="2" t="s">
        <v>6349</v>
      </c>
      <c r="S488" s="2" t="s">
        <v>6350</v>
      </c>
    </row>
    <row customHeight="true" ht="15" r="489">
      <c r="A489" s="2">
        <v>2025</v>
      </c>
      <c r="B489" s="2">
        <v>9</v>
      </c>
      <c r="C489" s="2" t="s">
        <v>6351</v>
      </c>
      <c r="D489" s="2" t="s">
        <v>6352</v>
      </c>
      <c r="E489" s="2" t="s">
        <v>6353</v>
      </c>
      <c r="F489" s="2" t="s">
        <v>6354</v>
      </c>
      <c r="G489" s="2" t="s">
        <v>6355</v>
      </c>
      <c r="H489" s="2" t="s">
        <v>6356</v>
      </c>
      <c r="I489" s="2" t="s">
        <v>6357</v>
      </c>
      <c r="J489" s="2" t="s">
        <v>6358</v>
      </c>
      <c r="K489" s="3">
        <v>278083.31</v>
      </c>
      <c r="L489" s="3">
        <v>244884.17</v>
      </c>
      <c r="M489" s="3">
        <f>L489-K489</f>
      </c>
      <c r="N489" s="4">
        <f>IF(K489=0,0,M489/K489)</f>
      </c>
      <c r="O489" s="2" t="s">
        <v>6359</v>
      </c>
      <c r="P489" s="2" t="s">
        <v>6360</v>
      </c>
      <c r="Q489" s="2" t="s">
        <v>6361</v>
      </c>
      <c r="R489" s="2" t="s">
        <v>6362</v>
      </c>
      <c r="S489" s="2" t="s">
        <v>6363</v>
      </c>
    </row>
    <row customHeight="true" ht="15" r="490">
      <c r="A490" s="2">
        <v>2025</v>
      </c>
      <c r="B490" s="2">
        <v>9</v>
      </c>
      <c r="C490" s="2" t="s">
        <v>6364</v>
      </c>
      <c r="D490" s="2" t="s">
        <v>6365</v>
      </c>
      <c r="E490" s="2" t="s">
        <v>6366</v>
      </c>
      <c r="F490" s="2" t="s">
        <v>6367</v>
      </c>
      <c r="G490" s="2" t="s">
        <v>6368</v>
      </c>
      <c r="H490" s="2" t="s">
        <v>6369</v>
      </c>
      <c r="I490" s="2" t="s">
        <v>6370</v>
      </c>
      <c r="J490" s="2" t="s">
        <v>6371</v>
      </c>
      <c r="K490" s="3">
        <v>45331.81</v>
      </c>
      <c r="L490" s="3">
        <v>56941.66</v>
      </c>
      <c r="M490" s="3">
        <f>L490-K490</f>
      </c>
      <c r="N490" s="4">
        <f>IF(K490=0,0,M490/K490)</f>
      </c>
      <c r="O490" s="2" t="s">
        <v>6372</v>
      </c>
      <c r="P490" s="2" t="s">
        <v>6373</v>
      </c>
      <c r="Q490" s="2" t="s">
        <v>6374</v>
      </c>
      <c r="R490" s="2" t="s">
        <v>6375</v>
      </c>
      <c r="S490" s="2" t="s">
        <v>6376</v>
      </c>
    </row>
    <row customHeight="true" ht="15" r="491">
      <c r="A491" s="2">
        <v>2025</v>
      </c>
      <c r="B491" s="2">
        <v>9</v>
      </c>
      <c r="C491" s="2" t="s">
        <v>6377</v>
      </c>
      <c r="D491" s="2" t="s">
        <v>6378</v>
      </c>
      <c r="E491" s="2" t="s">
        <v>6379</v>
      </c>
      <c r="F491" s="2" t="s">
        <v>6380</v>
      </c>
      <c r="G491" s="2" t="s">
        <v>6381</v>
      </c>
      <c r="H491" s="2" t="s">
        <v>6382</v>
      </c>
      <c r="I491" s="2" t="s">
        <v>6383</v>
      </c>
      <c r="J491" s="2" t="s">
        <v>6384</v>
      </c>
      <c r="K491" s="3">
        <v>74306.56</v>
      </c>
      <c r="L491" s="3">
        <v>87735.28</v>
      </c>
      <c r="M491" s="3">
        <f>L491-K491</f>
      </c>
      <c r="N491" s="4">
        <f>IF(K491=0,0,M491/K491)</f>
      </c>
      <c r="O491" s="2" t="s">
        <v>6385</v>
      </c>
      <c r="P491" s="2" t="s">
        <v>6386</v>
      </c>
      <c r="Q491" s="2" t="s">
        <v>6387</v>
      </c>
      <c r="R491" s="2" t="s">
        <v>6388</v>
      </c>
      <c r="S491" s="2" t="s">
        <v>6389</v>
      </c>
    </row>
    <row customHeight="true" ht="15" r="492">
      <c r="A492" s="2">
        <v>2025</v>
      </c>
      <c r="B492" s="2">
        <v>9</v>
      </c>
      <c r="C492" s="2" t="s">
        <v>6390</v>
      </c>
      <c r="D492" s="2" t="s">
        <v>6391</v>
      </c>
      <c r="E492" s="2" t="s">
        <v>6392</v>
      </c>
      <c r="F492" s="2" t="s">
        <v>6393</v>
      </c>
      <c r="G492" s="2" t="s">
        <v>6394</v>
      </c>
      <c r="H492" s="2" t="s">
        <v>6395</v>
      </c>
      <c r="I492" s="2" t="s">
        <v>6396</v>
      </c>
      <c r="J492" s="2" t="s">
        <v>6397</v>
      </c>
      <c r="K492" s="3">
        <v>42297.23</v>
      </c>
      <c r="L492" s="3">
        <v>46824.13</v>
      </c>
      <c r="M492" s="3">
        <f>L492-K492</f>
      </c>
      <c r="N492" s="4">
        <f>IF(K492=0,0,M492/K492)</f>
      </c>
      <c r="O492" s="2" t="s">
        <v>6398</v>
      </c>
      <c r="P492" s="2" t="s">
        <v>6399</v>
      </c>
      <c r="Q492" s="2" t="s">
        <v>6400</v>
      </c>
      <c r="R492" s="2" t="s">
        <v>6401</v>
      </c>
      <c r="S492" s="2" t="s">
        <v>6402</v>
      </c>
    </row>
    <row customHeight="true" ht="15" r="493">
      <c r="A493" s="2">
        <v>2025</v>
      </c>
      <c r="B493" s="2">
        <v>9</v>
      </c>
      <c r="C493" s="2" t="s">
        <v>6403</v>
      </c>
      <c r="D493" s="2" t="s">
        <v>6404</v>
      </c>
      <c r="E493" s="2" t="s">
        <v>6405</v>
      </c>
      <c r="F493" s="2" t="s">
        <v>6406</v>
      </c>
      <c r="G493" s="2" t="s">
        <v>6407</v>
      </c>
      <c r="H493" s="2" t="s">
        <v>6408</v>
      </c>
      <c r="I493" s="2" t="s">
        <v>6409</v>
      </c>
      <c r="J493" s="2" t="s">
        <v>6410</v>
      </c>
      <c r="K493" s="3">
        <v>201871.05</v>
      </c>
      <c r="L493" s="3">
        <v>225192.88</v>
      </c>
      <c r="M493" s="3">
        <f>L493-K493</f>
      </c>
      <c r="N493" s="4">
        <f>IF(K493=0,0,M493/K493)</f>
      </c>
      <c r="O493" s="2" t="s">
        <v>6411</v>
      </c>
      <c r="P493" s="2" t="s">
        <v>6412</v>
      </c>
      <c r="Q493" s="2" t="s">
        <v>6413</v>
      </c>
      <c r="R493" s="2" t="s">
        <v>6414</v>
      </c>
      <c r="S493" s="2" t="s">
        <v>6415</v>
      </c>
    </row>
    <row customHeight="true" ht="15" r="494">
      <c r="A494" s="2">
        <v>2025</v>
      </c>
      <c r="B494" s="2">
        <v>9</v>
      </c>
      <c r="C494" s="2" t="s">
        <v>6416</v>
      </c>
      <c r="D494" s="2" t="s">
        <v>6417</v>
      </c>
      <c r="E494" s="2" t="s">
        <v>6418</v>
      </c>
      <c r="F494" s="2" t="s">
        <v>6419</v>
      </c>
      <c r="G494" s="2" t="s">
        <v>6420</v>
      </c>
      <c r="H494" s="2" t="s">
        <v>6421</v>
      </c>
      <c r="I494" s="2" t="s">
        <v>6422</v>
      </c>
      <c r="J494" s="2" t="s">
        <v>6423</v>
      </c>
      <c r="K494" s="3">
        <v>144257.48</v>
      </c>
      <c r="L494" s="3">
        <v>143654.06</v>
      </c>
      <c r="M494" s="3">
        <f>L494-K494</f>
      </c>
      <c r="N494" s="4">
        <f>IF(K494=0,0,M494/K494)</f>
      </c>
      <c r="O494" s="2" t="s">
        <v>6424</v>
      </c>
      <c r="P494" s="2" t="s">
        <v>6425</v>
      </c>
      <c r="Q494" s="2" t="s">
        <v>6426</v>
      </c>
      <c r="R494" s="2" t="s">
        <v>6427</v>
      </c>
      <c r="S494" s="2" t="s">
        <v>6428</v>
      </c>
    </row>
    <row customHeight="true" ht="15" r="495">
      <c r="A495" s="2">
        <v>2025</v>
      </c>
      <c r="B495" s="2">
        <v>9</v>
      </c>
      <c r="C495" s="2" t="s">
        <v>6429</v>
      </c>
      <c r="D495" s="2" t="s">
        <v>6430</v>
      </c>
      <c r="E495" s="2" t="s">
        <v>6431</v>
      </c>
      <c r="F495" s="2" t="s">
        <v>6432</v>
      </c>
      <c r="G495" s="2" t="s">
        <v>6433</v>
      </c>
      <c r="H495" s="2" t="s">
        <v>6434</v>
      </c>
      <c r="I495" s="2" t="s">
        <v>6435</v>
      </c>
      <c r="J495" s="2" t="s">
        <v>6436</v>
      </c>
      <c r="K495" s="3">
        <v>43233.42</v>
      </c>
      <c r="L495" s="3">
        <v>41314.44</v>
      </c>
      <c r="M495" s="3">
        <f>L495-K495</f>
      </c>
      <c r="N495" s="4">
        <f>IF(K495=0,0,M495/K495)</f>
      </c>
      <c r="O495" s="2" t="s">
        <v>6437</v>
      </c>
      <c r="P495" s="2" t="s">
        <v>6438</v>
      </c>
      <c r="Q495" s="2" t="s">
        <v>6439</v>
      </c>
      <c r="R495" s="2" t="s">
        <v>6440</v>
      </c>
      <c r="S495" s="2" t="s">
        <v>6441</v>
      </c>
    </row>
    <row customHeight="true" ht="15" r="496">
      <c r="A496" s="2">
        <v>2025</v>
      </c>
      <c r="B496" s="2">
        <v>9</v>
      </c>
      <c r="C496" s="2" t="s">
        <v>6442</v>
      </c>
      <c r="D496" s="2" t="s">
        <v>6443</v>
      </c>
      <c r="E496" s="2" t="s">
        <v>6444</v>
      </c>
      <c r="F496" s="2" t="s">
        <v>6445</v>
      </c>
      <c r="G496" s="2" t="s">
        <v>6446</v>
      </c>
      <c r="H496" s="2" t="s">
        <v>6447</v>
      </c>
      <c r="I496" s="2" t="s">
        <v>6448</v>
      </c>
      <c r="J496" s="2" t="s">
        <v>6449</v>
      </c>
      <c r="K496" s="3">
        <v>180333.83</v>
      </c>
      <c r="L496" s="3">
        <v>185384.55</v>
      </c>
      <c r="M496" s="3">
        <f>L496-K496</f>
      </c>
      <c r="N496" s="4">
        <f>IF(K496=0,0,M496/K496)</f>
      </c>
      <c r="O496" s="2" t="s">
        <v>6450</v>
      </c>
      <c r="P496" s="2" t="s">
        <v>6451</v>
      </c>
      <c r="Q496" s="2" t="s">
        <v>6452</v>
      </c>
      <c r="R496" s="2" t="s">
        <v>6453</v>
      </c>
      <c r="S496" s="2" t="s">
        <v>6454</v>
      </c>
    </row>
    <row customHeight="true" ht="15" r="497">
      <c r="A497" s="2">
        <v>2025</v>
      </c>
      <c r="B497" s="2">
        <v>10</v>
      </c>
      <c r="C497" s="2" t="s">
        <v>6455</v>
      </c>
      <c r="D497" s="2" t="s">
        <v>6456</v>
      </c>
      <c r="E497" s="2" t="s">
        <v>6457</v>
      </c>
      <c r="F497" s="2" t="s">
        <v>6458</v>
      </c>
      <c r="G497" s="2" t="s">
        <v>6459</v>
      </c>
      <c r="H497" s="2" t="s">
        <v>6460</v>
      </c>
      <c r="I497" s="2" t="s">
        <v>6461</v>
      </c>
      <c r="J497" s="2" t="s">
        <v>6462</v>
      </c>
      <c r="K497" s="3">
        <v>26164.78</v>
      </c>
      <c r="L497" s="3">
        <v>29209.66</v>
      </c>
      <c r="M497" s="3">
        <f>L497-K497</f>
      </c>
      <c r="N497" s="4">
        <f>IF(K497=0,0,M497/K497)</f>
      </c>
      <c r="O497" s="2" t="s">
        <v>6463</v>
      </c>
      <c r="P497" s="2" t="s">
        <v>6464</v>
      </c>
      <c r="Q497" s="2" t="s">
        <v>6465</v>
      </c>
      <c r="R497" s="2" t="s">
        <v>6466</v>
      </c>
      <c r="S497" s="2" t="s">
        <v>6467</v>
      </c>
    </row>
    <row customHeight="true" ht="15" r="498">
      <c r="A498" s="2">
        <v>2025</v>
      </c>
      <c r="B498" s="2">
        <v>10</v>
      </c>
      <c r="C498" s="2" t="s">
        <v>6468</v>
      </c>
      <c r="D498" s="2" t="s">
        <v>6469</v>
      </c>
      <c r="E498" s="2" t="s">
        <v>6470</v>
      </c>
      <c r="F498" s="2" t="s">
        <v>6471</v>
      </c>
      <c r="G498" s="2" t="s">
        <v>6472</v>
      </c>
      <c r="H498" s="2" t="s">
        <v>6473</v>
      </c>
      <c r="I498" s="2" t="s">
        <v>6474</v>
      </c>
      <c r="J498" s="2" t="s">
        <v>6475</v>
      </c>
      <c r="K498" s="3">
        <v>163921.71</v>
      </c>
      <c r="L498" s="3">
        <v>177157.38</v>
      </c>
      <c r="M498" s="3">
        <f>L498-K498</f>
      </c>
      <c r="N498" s="4">
        <f>IF(K498=0,0,M498/K498)</f>
      </c>
      <c r="O498" s="2" t="s">
        <v>6476</v>
      </c>
      <c r="P498" s="2" t="s">
        <v>6477</v>
      </c>
      <c r="Q498" s="2" t="s">
        <v>6478</v>
      </c>
      <c r="R498" s="2" t="s">
        <v>6479</v>
      </c>
      <c r="S498" s="2" t="s">
        <v>6480</v>
      </c>
    </row>
    <row customHeight="true" ht="15" r="499">
      <c r="A499" s="2">
        <v>2025</v>
      </c>
      <c r="B499" s="2">
        <v>10</v>
      </c>
      <c r="C499" s="2" t="s">
        <v>6481</v>
      </c>
      <c r="D499" s="2" t="s">
        <v>6482</v>
      </c>
      <c r="E499" s="2" t="s">
        <v>6483</v>
      </c>
      <c r="F499" s="2" t="s">
        <v>6484</v>
      </c>
      <c r="G499" s="2" t="s">
        <v>6485</v>
      </c>
      <c r="H499" s="2" t="s">
        <v>6486</v>
      </c>
      <c r="I499" s="2" t="s">
        <v>6487</v>
      </c>
      <c r="J499" s="2" t="s">
        <v>6488</v>
      </c>
      <c r="K499" s="3">
        <v>200349.94</v>
      </c>
      <c r="L499" s="3">
        <v>202686.98</v>
      </c>
      <c r="M499" s="3">
        <f>L499-K499</f>
      </c>
      <c r="N499" s="4">
        <f>IF(K499=0,0,M499/K499)</f>
      </c>
      <c r="O499" s="2" t="s">
        <v>6489</v>
      </c>
      <c r="P499" s="2" t="s">
        <v>6490</v>
      </c>
      <c r="Q499" s="2" t="s">
        <v>6491</v>
      </c>
      <c r="R499" s="2" t="s">
        <v>6492</v>
      </c>
      <c r="S499" s="2" t="s">
        <v>6493</v>
      </c>
    </row>
    <row customHeight="true" ht="15" r="500">
      <c r="A500" s="2">
        <v>2025</v>
      </c>
      <c r="B500" s="2">
        <v>10</v>
      </c>
      <c r="C500" s="2" t="s">
        <v>6494</v>
      </c>
      <c r="D500" s="2" t="s">
        <v>6495</v>
      </c>
      <c r="E500" s="2" t="s">
        <v>6496</v>
      </c>
      <c r="F500" s="2" t="s">
        <v>6497</v>
      </c>
      <c r="G500" s="2" t="s">
        <v>6498</v>
      </c>
      <c r="H500" s="2" t="s">
        <v>6499</v>
      </c>
      <c r="I500" s="2" t="s">
        <v>6500</v>
      </c>
      <c r="J500" s="2" t="s">
        <v>6501</v>
      </c>
      <c r="K500" s="3">
        <v>120470.57</v>
      </c>
      <c r="L500" s="3">
        <v>132737.93</v>
      </c>
      <c r="M500" s="3">
        <f>L500-K500</f>
      </c>
      <c r="N500" s="4">
        <f>IF(K500=0,0,M500/K500)</f>
      </c>
      <c r="O500" s="2" t="s">
        <v>6502</v>
      </c>
      <c r="P500" s="2" t="s">
        <v>6503</v>
      </c>
      <c r="Q500" s="2" t="s">
        <v>6504</v>
      </c>
      <c r="R500" s="2" t="s">
        <v>6505</v>
      </c>
      <c r="S500" s="2" t="s">
        <v>6506</v>
      </c>
    </row>
    <row customHeight="true" ht="15" r="501">
      <c r="A501" s="2">
        <v>2025</v>
      </c>
      <c r="B501" s="2">
        <v>10</v>
      </c>
      <c r="C501" s="2" t="s">
        <v>6507</v>
      </c>
      <c r="D501" s="2" t="s">
        <v>6508</v>
      </c>
      <c r="E501" s="2" t="s">
        <v>6509</v>
      </c>
      <c r="F501" s="2" t="s">
        <v>6510</v>
      </c>
      <c r="G501" s="2" t="s">
        <v>6511</v>
      </c>
      <c r="H501" s="2" t="s">
        <v>6512</v>
      </c>
      <c r="I501" s="2" t="s">
        <v>6513</v>
      </c>
      <c r="J501" s="2" t="s">
        <v>6514</v>
      </c>
      <c r="K501" s="3">
        <v>195366.05</v>
      </c>
      <c r="L501" s="3">
        <v>219285.18</v>
      </c>
      <c r="M501" s="3">
        <f>L501-K501</f>
      </c>
      <c r="N501" s="4">
        <f>IF(K501=0,0,M501/K501)</f>
      </c>
      <c r="O501" s="2" t="s">
        <v>6515</v>
      </c>
      <c r="P501" s="2" t="s">
        <v>6516</v>
      </c>
      <c r="Q501" s="2" t="s">
        <v>6517</v>
      </c>
      <c r="R501" s="2" t="s">
        <v>6518</v>
      </c>
      <c r="S501" s="2" t="s">
        <v>6519</v>
      </c>
    </row>
    <row customHeight="true" ht="15" r="502">
      <c r="A502" s="2">
        <v>2025</v>
      </c>
      <c r="B502" s="2">
        <v>10</v>
      </c>
      <c r="C502" s="2" t="s">
        <v>6520</v>
      </c>
      <c r="D502" s="2" t="s">
        <v>6521</v>
      </c>
      <c r="E502" s="2" t="s">
        <v>6522</v>
      </c>
      <c r="F502" s="2" t="s">
        <v>6523</v>
      </c>
      <c r="G502" s="2" t="s">
        <v>6524</v>
      </c>
      <c r="H502" s="2" t="s">
        <v>6525</v>
      </c>
      <c r="I502" s="2" t="s">
        <v>6526</v>
      </c>
      <c r="J502" s="2" t="s">
        <v>6527</v>
      </c>
      <c r="K502" s="3">
        <v>99504.26</v>
      </c>
      <c r="L502" s="3">
        <v>104653.81</v>
      </c>
      <c r="M502" s="3">
        <f>L502-K502</f>
      </c>
      <c r="N502" s="4">
        <f>IF(K502=0,0,M502/K502)</f>
      </c>
      <c r="O502" s="2" t="s">
        <v>6528</v>
      </c>
      <c r="P502" s="2" t="s">
        <v>6529</v>
      </c>
      <c r="Q502" s="2" t="s">
        <v>6530</v>
      </c>
      <c r="R502" s="2" t="s">
        <v>6531</v>
      </c>
      <c r="S502" s="2" t="s">
        <v>6532</v>
      </c>
    </row>
    <row customHeight="true" ht="15" r="503">
      <c r="A503" s="2">
        <v>2025</v>
      </c>
      <c r="B503" s="2">
        <v>10</v>
      </c>
      <c r="C503" s="2" t="s">
        <v>6533</v>
      </c>
      <c r="D503" s="2" t="s">
        <v>6534</v>
      </c>
      <c r="E503" s="2" t="s">
        <v>6535</v>
      </c>
      <c r="F503" s="2" t="s">
        <v>6536</v>
      </c>
      <c r="G503" s="2" t="s">
        <v>6537</v>
      </c>
      <c r="H503" s="2" t="s">
        <v>6538</v>
      </c>
      <c r="I503" s="2" t="s">
        <v>6539</v>
      </c>
      <c r="J503" s="2" t="s">
        <v>6540</v>
      </c>
      <c r="K503" s="3">
        <v>80157.75</v>
      </c>
      <c r="L503" s="3">
        <v>92861.32</v>
      </c>
      <c r="M503" s="3">
        <f>L503-K503</f>
      </c>
      <c r="N503" s="4">
        <f>IF(K503=0,0,M503/K503)</f>
      </c>
      <c r="O503" s="2" t="s">
        <v>6541</v>
      </c>
      <c r="P503" s="2" t="s">
        <v>6542</v>
      </c>
      <c r="Q503" s="2" t="s">
        <v>6543</v>
      </c>
      <c r="R503" s="2" t="s">
        <v>6544</v>
      </c>
      <c r="S503" s="2" t="s">
        <v>6545</v>
      </c>
    </row>
    <row customHeight="true" ht="15" r="504">
      <c r="A504" s="2">
        <v>2025</v>
      </c>
      <c r="B504" s="2">
        <v>10</v>
      </c>
      <c r="C504" s="2" t="s">
        <v>6546</v>
      </c>
      <c r="D504" s="2" t="s">
        <v>6547</v>
      </c>
      <c r="E504" s="2" t="s">
        <v>6548</v>
      </c>
      <c r="F504" s="2" t="s">
        <v>6549</v>
      </c>
      <c r="G504" s="2" t="s">
        <v>6550</v>
      </c>
      <c r="H504" s="2" t="s">
        <v>6551</v>
      </c>
      <c r="I504" s="2" t="s">
        <v>6552</v>
      </c>
      <c r="J504" s="2" t="s">
        <v>6553</v>
      </c>
      <c r="K504" s="3">
        <v>198328.35</v>
      </c>
      <c r="L504" s="3">
        <v>257664.24</v>
      </c>
      <c r="M504" s="3">
        <f>L504-K504</f>
      </c>
      <c r="N504" s="4">
        <f>IF(K504=0,0,M504/K504)</f>
      </c>
      <c r="O504" s="2" t="s">
        <v>6554</v>
      </c>
      <c r="P504" s="2" t="s">
        <v>6555</v>
      </c>
      <c r="Q504" s="2" t="s">
        <v>6556</v>
      </c>
      <c r="R504" s="2" t="s">
        <v>6557</v>
      </c>
      <c r="S504" s="2" t="s">
        <v>6558</v>
      </c>
    </row>
    <row customHeight="true" ht="15" r="505">
      <c r="A505" s="2">
        <v>2025</v>
      </c>
      <c r="B505" s="2">
        <v>10</v>
      </c>
      <c r="C505" s="2" t="s">
        <v>6559</v>
      </c>
      <c r="D505" s="2" t="s">
        <v>6560</v>
      </c>
      <c r="E505" s="2" t="s">
        <v>6561</v>
      </c>
      <c r="F505" s="2" t="s">
        <v>6562</v>
      </c>
      <c r="G505" s="2" t="s">
        <v>6563</v>
      </c>
      <c r="H505" s="2" t="s">
        <v>6564</v>
      </c>
      <c r="I505" s="2" t="s">
        <v>6565</v>
      </c>
      <c r="J505" s="2" t="s">
        <v>6566</v>
      </c>
      <c r="K505" s="3">
        <v>176123.74</v>
      </c>
      <c r="L505" s="3">
        <v>174834.58</v>
      </c>
      <c r="M505" s="3">
        <f>L505-K505</f>
      </c>
      <c r="N505" s="4">
        <f>IF(K505=0,0,M505/K505)</f>
      </c>
      <c r="O505" s="2" t="s">
        <v>6567</v>
      </c>
      <c r="P505" s="2" t="s">
        <v>6568</v>
      </c>
      <c r="Q505" s="2" t="s">
        <v>6569</v>
      </c>
      <c r="R505" s="2" t="s">
        <v>6570</v>
      </c>
      <c r="S505" s="2" t="s">
        <v>6571</v>
      </c>
    </row>
    <row customHeight="true" ht="15" r="506">
      <c r="A506" s="2">
        <v>2025</v>
      </c>
      <c r="B506" s="2">
        <v>10</v>
      </c>
      <c r="C506" s="2" t="s">
        <v>6572</v>
      </c>
      <c r="D506" s="2" t="s">
        <v>6573</v>
      </c>
      <c r="E506" s="2" t="s">
        <v>6574</v>
      </c>
      <c r="F506" s="2" t="s">
        <v>6575</v>
      </c>
      <c r="G506" s="2" t="s">
        <v>6576</v>
      </c>
      <c r="H506" s="2" t="s">
        <v>6577</v>
      </c>
      <c r="I506" s="2" t="s">
        <v>6578</v>
      </c>
      <c r="J506" s="2" t="s">
        <v>6579</v>
      </c>
      <c r="K506" s="3">
        <v>9288.02</v>
      </c>
      <c r="L506" s="3">
        <v>9556.47</v>
      </c>
      <c r="M506" s="3">
        <f>L506-K506</f>
      </c>
      <c r="N506" s="4">
        <f>IF(K506=0,0,M506/K506)</f>
      </c>
      <c r="O506" s="2" t="s">
        <v>6580</v>
      </c>
      <c r="P506" s="2" t="s">
        <v>6581</v>
      </c>
      <c r="Q506" s="2" t="s">
        <v>6582</v>
      </c>
      <c r="R506" s="2" t="s">
        <v>6583</v>
      </c>
      <c r="S506" s="2" t="s">
        <v>6584</v>
      </c>
    </row>
    <row customHeight="true" ht="15" r="507">
      <c r="A507" s="2">
        <v>2025</v>
      </c>
      <c r="B507" s="2">
        <v>10</v>
      </c>
      <c r="C507" s="2" t="s">
        <v>6585</v>
      </c>
      <c r="D507" s="2" t="s">
        <v>6586</v>
      </c>
      <c r="E507" s="2" t="s">
        <v>6587</v>
      </c>
      <c r="F507" s="2" t="s">
        <v>6588</v>
      </c>
      <c r="G507" s="2" t="s">
        <v>6589</v>
      </c>
      <c r="H507" s="2" t="s">
        <v>6590</v>
      </c>
      <c r="I507" s="2" t="s">
        <v>6591</v>
      </c>
      <c r="J507" s="2" t="s">
        <v>6592</v>
      </c>
      <c r="K507" s="3">
        <v>188110.3</v>
      </c>
      <c r="L507" s="3">
        <v>187186.61</v>
      </c>
      <c r="M507" s="3">
        <f>L507-K507</f>
      </c>
      <c r="N507" s="4">
        <f>IF(K507=0,0,M507/K507)</f>
      </c>
      <c r="O507" s="2" t="s">
        <v>6593</v>
      </c>
      <c r="P507" s="2" t="s">
        <v>6594</v>
      </c>
      <c r="Q507" s="2" t="s">
        <v>6595</v>
      </c>
      <c r="R507" s="2" t="s">
        <v>6596</v>
      </c>
      <c r="S507" s="2" t="s">
        <v>6597</v>
      </c>
    </row>
    <row customHeight="true" ht="15" r="508">
      <c r="A508" s="2">
        <v>2025</v>
      </c>
      <c r="B508" s="2">
        <v>10</v>
      </c>
      <c r="C508" s="2" t="s">
        <v>6598</v>
      </c>
      <c r="D508" s="2" t="s">
        <v>6599</v>
      </c>
      <c r="E508" s="2" t="s">
        <v>6600</v>
      </c>
      <c r="F508" s="2" t="s">
        <v>6601</v>
      </c>
      <c r="G508" s="2" t="s">
        <v>6602</v>
      </c>
      <c r="H508" s="2" t="s">
        <v>6603</v>
      </c>
      <c r="I508" s="2" t="s">
        <v>6604</v>
      </c>
      <c r="J508" s="2" t="s">
        <v>6605</v>
      </c>
      <c r="K508" s="3">
        <v>278784.71</v>
      </c>
      <c r="L508" s="3">
        <v>291334.38</v>
      </c>
      <c r="M508" s="3">
        <f>L508-K508</f>
      </c>
      <c r="N508" s="4">
        <f>IF(K508=0,0,M508/K508)</f>
      </c>
      <c r="O508" s="2" t="s">
        <v>6606</v>
      </c>
      <c r="P508" s="2" t="s">
        <v>6607</v>
      </c>
      <c r="Q508" s="2" t="s">
        <v>6608</v>
      </c>
      <c r="R508" s="2" t="s">
        <v>6609</v>
      </c>
      <c r="S508" s="2" t="s">
        <v>6610</v>
      </c>
    </row>
    <row customHeight="true" ht="15" r="509">
      <c r="A509" s="2">
        <v>2025</v>
      </c>
      <c r="B509" s="2">
        <v>10</v>
      </c>
      <c r="C509" s="2" t="s">
        <v>6611</v>
      </c>
      <c r="D509" s="2" t="s">
        <v>6612</v>
      </c>
      <c r="E509" s="2" t="s">
        <v>6613</v>
      </c>
      <c r="F509" s="2" t="s">
        <v>6614</v>
      </c>
      <c r="G509" s="2" t="s">
        <v>6615</v>
      </c>
      <c r="H509" s="2" t="s">
        <v>6616</v>
      </c>
      <c r="I509" s="2" t="s">
        <v>6617</v>
      </c>
      <c r="J509" s="2" t="s">
        <v>6618</v>
      </c>
      <c r="K509" s="3">
        <v>128747.5</v>
      </c>
      <c r="L509" s="3">
        <v>161882.25</v>
      </c>
      <c r="M509" s="3">
        <f>L509-K509</f>
      </c>
      <c r="N509" s="4">
        <f>IF(K509=0,0,M509/K509)</f>
      </c>
      <c r="O509" s="2" t="s">
        <v>6619</v>
      </c>
      <c r="P509" s="2" t="s">
        <v>6620</v>
      </c>
      <c r="Q509" s="2" t="s">
        <v>6621</v>
      </c>
      <c r="R509" s="2" t="s">
        <v>6622</v>
      </c>
      <c r="S509" s="2" t="s">
        <v>6623</v>
      </c>
    </row>
    <row customHeight="true" ht="15" r="510">
      <c r="A510" s="2">
        <v>2025</v>
      </c>
      <c r="B510" s="2">
        <v>10</v>
      </c>
      <c r="C510" s="2" t="s">
        <v>6624</v>
      </c>
      <c r="D510" s="2" t="s">
        <v>6625</v>
      </c>
      <c r="E510" s="2" t="s">
        <v>6626</v>
      </c>
      <c r="F510" s="2" t="s">
        <v>6627</v>
      </c>
      <c r="G510" s="2" t="s">
        <v>6628</v>
      </c>
      <c r="H510" s="2" t="s">
        <v>6629</v>
      </c>
      <c r="I510" s="2" t="s">
        <v>6630</v>
      </c>
      <c r="J510" s="2" t="s">
        <v>6631</v>
      </c>
      <c r="K510" s="3">
        <v>63697.29</v>
      </c>
      <c r="L510" s="3">
        <v>63024.68</v>
      </c>
      <c r="M510" s="3">
        <f>L510-K510</f>
      </c>
      <c r="N510" s="4">
        <f>IF(K510=0,0,M510/K510)</f>
      </c>
      <c r="O510" s="2" t="s">
        <v>6632</v>
      </c>
      <c r="P510" s="2" t="s">
        <v>6633</v>
      </c>
      <c r="Q510" s="2" t="s">
        <v>6634</v>
      </c>
      <c r="R510" s="2" t="s">
        <v>6635</v>
      </c>
      <c r="S510" s="2" t="s">
        <v>6636</v>
      </c>
    </row>
    <row customHeight="true" ht="15" r="511">
      <c r="A511" s="2">
        <v>2025</v>
      </c>
      <c r="B511" s="2">
        <v>10</v>
      </c>
      <c r="C511" s="2" t="s">
        <v>6637</v>
      </c>
      <c r="D511" s="2" t="s">
        <v>6638</v>
      </c>
      <c r="E511" s="2" t="s">
        <v>6639</v>
      </c>
      <c r="F511" s="2" t="s">
        <v>6640</v>
      </c>
      <c r="G511" s="2" t="s">
        <v>6641</v>
      </c>
      <c r="H511" s="2" t="s">
        <v>6642</v>
      </c>
      <c r="I511" s="2" t="s">
        <v>6643</v>
      </c>
      <c r="J511" s="2" t="s">
        <v>6644</v>
      </c>
      <c r="K511" s="3">
        <v>169099.38</v>
      </c>
      <c r="L511" s="3">
        <v>162533.98</v>
      </c>
      <c r="M511" s="3">
        <f>L511-K511</f>
      </c>
      <c r="N511" s="4">
        <f>IF(K511=0,0,M511/K511)</f>
      </c>
      <c r="O511" s="2" t="s">
        <v>6645</v>
      </c>
      <c r="P511" s="2" t="s">
        <v>6646</v>
      </c>
      <c r="Q511" s="2" t="s">
        <v>6647</v>
      </c>
      <c r="R511" s="2" t="s">
        <v>6648</v>
      </c>
      <c r="S511" s="2" t="s">
        <v>6649</v>
      </c>
    </row>
    <row customHeight="true" ht="15" r="512">
      <c r="A512" s="2">
        <v>2025</v>
      </c>
      <c r="B512" s="2">
        <v>11</v>
      </c>
      <c r="C512" s="2" t="s">
        <v>6650</v>
      </c>
      <c r="D512" s="2" t="s">
        <v>6651</v>
      </c>
      <c r="E512" s="2" t="s">
        <v>6652</v>
      </c>
      <c r="F512" s="2" t="s">
        <v>6653</v>
      </c>
      <c r="G512" s="2" t="s">
        <v>6654</v>
      </c>
      <c r="H512" s="2" t="s">
        <v>6655</v>
      </c>
      <c r="I512" s="2" t="s">
        <v>6656</v>
      </c>
      <c r="J512" s="2" t="s">
        <v>6657</v>
      </c>
      <c r="K512" s="3">
        <v>382809.71</v>
      </c>
      <c r="L512" s="3">
        <v>430531.38</v>
      </c>
      <c r="M512" s="3">
        <f>L512-K512</f>
      </c>
      <c r="N512" s="4">
        <f>IF(K512=0,0,M512/K512)</f>
      </c>
      <c r="O512" s="2" t="s">
        <v>6658</v>
      </c>
      <c r="P512" s="2" t="s">
        <v>6659</v>
      </c>
      <c r="Q512" s="2" t="s">
        <v>6660</v>
      </c>
      <c r="R512" s="2" t="s">
        <v>6661</v>
      </c>
      <c r="S512" s="2" t="s">
        <v>6662</v>
      </c>
    </row>
    <row customHeight="true" ht="15" r="513">
      <c r="A513" s="2">
        <v>2025</v>
      </c>
      <c r="B513" s="2">
        <v>11</v>
      </c>
      <c r="C513" s="2" t="s">
        <v>6663</v>
      </c>
      <c r="D513" s="2" t="s">
        <v>6664</v>
      </c>
      <c r="E513" s="2" t="s">
        <v>6665</v>
      </c>
      <c r="F513" s="2" t="s">
        <v>6666</v>
      </c>
      <c r="G513" s="2" t="s">
        <v>6667</v>
      </c>
      <c r="H513" s="2" t="s">
        <v>6668</v>
      </c>
      <c r="I513" s="2" t="s">
        <v>6669</v>
      </c>
      <c r="J513" s="2" t="s">
        <v>6670</v>
      </c>
      <c r="K513" s="3">
        <v>252552.23</v>
      </c>
      <c r="L513" s="3">
        <v>208381.19</v>
      </c>
      <c r="M513" s="3">
        <f>L513-K513</f>
      </c>
      <c r="N513" s="4">
        <f>IF(K513=0,0,M513/K513)</f>
      </c>
      <c r="O513" s="2" t="s">
        <v>6671</v>
      </c>
      <c r="P513" s="2" t="s">
        <v>6672</v>
      </c>
      <c r="Q513" s="2" t="s">
        <v>6673</v>
      </c>
      <c r="R513" s="2" t="s">
        <v>6674</v>
      </c>
      <c r="S513" s="2" t="s">
        <v>6675</v>
      </c>
    </row>
    <row customHeight="true" ht="15" r="514">
      <c r="A514" s="2">
        <v>2025</v>
      </c>
      <c r="B514" s="2">
        <v>11</v>
      </c>
      <c r="C514" s="2" t="s">
        <v>6676</v>
      </c>
      <c r="D514" s="2" t="s">
        <v>6677</v>
      </c>
      <c r="E514" s="2" t="s">
        <v>6678</v>
      </c>
      <c r="F514" s="2" t="s">
        <v>6679</v>
      </c>
      <c r="G514" s="2" t="s">
        <v>6680</v>
      </c>
      <c r="H514" s="2" t="s">
        <v>6681</v>
      </c>
      <c r="I514" s="2" t="s">
        <v>6682</v>
      </c>
      <c r="J514" s="2" t="s">
        <v>6683</v>
      </c>
      <c r="K514" s="3">
        <v>41314.16</v>
      </c>
      <c r="L514" s="3">
        <v>39815.73</v>
      </c>
      <c r="M514" s="3">
        <f>L514-K514</f>
      </c>
      <c r="N514" s="4">
        <f>IF(K514=0,0,M514/K514)</f>
      </c>
      <c r="O514" s="2" t="s">
        <v>6684</v>
      </c>
      <c r="P514" s="2" t="s">
        <v>6685</v>
      </c>
      <c r="Q514" s="2" t="s">
        <v>6686</v>
      </c>
      <c r="R514" s="2" t="s">
        <v>6687</v>
      </c>
      <c r="S514" s="2" t="s">
        <v>6688</v>
      </c>
    </row>
    <row customHeight="true" ht="15" r="515">
      <c r="A515" s="2">
        <v>2025</v>
      </c>
      <c r="B515" s="2">
        <v>11</v>
      </c>
      <c r="C515" s="2" t="s">
        <v>6689</v>
      </c>
      <c r="D515" s="2" t="s">
        <v>6690</v>
      </c>
      <c r="E515" s="2" t="s">
        <v>6691</v>
      </c>
      <c r="F515" s="2" t="s">
        <v>6692</v>
      </c>
      <c r="G515" s="2" t="s">
        <v>6693</v>
      </c>
      <c r="H515" s="2" t="s">
        <v>6694</v>
      </c>
      <c r="I515" s="2" t="s">
        <v>6695</v>
      </c>
      <c r="J515" s="2" t="s">
        <v>6696</v>
      </c>
      <c r="K515" s="3">
        <v>285968.05</v>
      </c>
      <c r="L515" s="3">
        <v>239445.59</v>
      </c>
      <c r="M515" s="3">
        <f>L515-K515</f>
      </c>
      <c r="N515" s="4">
        <f>IF(K515=0,0,M515/K515)</f>
      </c>
      <c r="O515" s="2" t="s">
        <v>6697</v>
      </c>
      <c r="P515" s="2" t="s">
        <v>6698</v>
      </c>
      <c r="Q515" s="2" t="s">
        <v>6699</v>
      </c>
      <c r="R515" s="2" t="s">
        <v>6700</v>
      </c>
      <c r="S515" s="2" t="s">
        <v>6701</v>
      </c>
    </row>
    <row customHeight="true" ht="15" r="516">
      <c r="A516" s="2">
        <v>2025</v>
      </c>
      <c r="B516" s="2">
        <v>11</v>
      </c>
      <c r="C516" s="2" t="s">
        <v>6702</v>
      </c>
      <c r="D516" s="2" t="s">
        <v>6703</v>
      </c>
      <c r="E516" s="2" t="s">
        <v>6704</v>
      </c>
      <c r="F516" s="2" t="s">
        <v>6705</v>
      </c>
      <c r="G516" s="2" t="s">
        <v>6706</v>
      </c>
      <c r="H516" s="2" t="s">
        <v>6707</v>
      </c>
      <c r="I516" s="2" t="s">
        <v>6708</v>
      </c>
      <c r="J516" s="2" t="s">
        <v>6709</v>
      </c>
      <c r="K516" s="3">
        <v>11753.7</v>
      </c>
      <c r="L516" s="3">
        <v>15115.71</v>
      </c>
      <c r="M516" s="3">
        <f>L516-K516</f>
      </c>
      <c r="N516" s="4">
        <f>IF(K516=0,0,M516/K516)</f>
      </c>
      <c r="O516" s="2" t="s">
        <v>6710</v>
      </c>
      <c r="P516" s="2" t="s">
        <v>6711</v>
      </c>
      <c r="Q516" s="2" t="s">
        <v>6712</v>
      </c>
      <c r="R516" s="2" t="s">
        <v>6713</v>
      </c>
      <c r="S516" s="2" t="s">
        <v>6714</v>
      </c>
    </row>
    <row customHeight="true" ht="15" r="517">
      <c r="A517" s="2">
        <v>2025</v>
      </c>
      <c r="B517" s="2">
        <v>11</v>
      </c>
      <c r="C517" s="2" t="s">
        <v>6715</v>
      </c>
      <c r="D517" s="2" t="s">
        <v>6716</v>
      </c>
      <c r="E517" s="2" t="s">
        <v>6717</v>
      </c>
      <c r="F517" s="2" t="s">
        <v>6718</v>
      </c>
      <c r="G517" s="2" t="s">
        <v>6719</v>
      </c>
      <c r="H517" s="2" t="s">
        <v>6720</v>
      </c>
      <c r="I517" s="2" t="s">
        <v>6721</v>
      </c>
      <c r="J517" s="2" t="s">
        <v>6722</v>
      </c>
      <c r="K517" s="3">
        <v>79098.21</v>
      </c>
      <c r="L517" s="3">
        <v>83353.11</v>
      </c>
      <c r="M517" s="3">
        <f>L517-K517</f>
      </c>
      <c r="N517" s="4">
        <f>IF(K517=0,0,M517/K517)</f>
      </c>
      <c r="O517" s="2" t="s">
        <v>6723</v>
      </c>
      <c r="P517" s="2" t="s">
        <v>6724</v>
      </c>
      <c r="Q517" s="2" t="s">
        <v>6725</v>
      </c>
      <c r="R517" s="2" t="s">
        <v>6726</v>
      </c>
      <c r="S517" s="2" t="s">
        <v>6727</v>
      </c>
    </row>
    <row customHeight="true" ht="15" r="518">
      <c r="A518" s="2">
        <v>2025</v>
      </c>
      <c r="B518" s="2">
        <v>11</v>
      </c>
      <c r="C518" s="2" t="s">
        <v>6728</v>
      </c>
      <c r="D518" s="2" t="s">
        <v>6729</v>
      </c>
      <c r="E518" s="2" t="s">
        <v>6730</v>
      </c>
      <c r="F518" s="2" t="s">
        <v>6731</v>
      </c>
      <c r="G518" s="2" t="s">
        <v>6732</v>
      </c>
      <c r="H518" s="2" t="s">
        <v>6733</v>
      </c>
      <c r="I518" s="2" t="s">
        <v>6734</v>
      </c>
      <c r="J518" s="2" t="s">
        <v>6735</v>
      </c>
      <c r="K518" s="3">
        <v>80263.89</v>
      </c>
      <c r="L518" s="3">
        <v>90853.23</v>
      </c>
      <c r="M518" s="3">
        <f>L518-K518</f>
      </c>
      <c r="N518" s="4">
        <f>IF(K518=0,0,M518/K518)</f>
      </c>
      <c r="O518" s="2" t="s">
        <v>6736</v>
      </c>
      <c r="P518" s="2" t="s">
        <v>6737</v>
      </c>
      <c r="Q518" s="2" t="s">
        <v>6738</v>
      </c>
      <c r="R518" s="2" t="s">
        <v>6739</v>
      </c>
      <c r="S518" s="2" t="s">
        <v>6740</v>
      </c>
    </row>
    <row customHeight="true" ht="15" r="519">
      <c r="A519" s="2">
        <v>2025</v>
      </c>
      <c r="B519" s="2">
        <v>11</v>
      </c>
      <c r="C519" s="2" t="s">
        <v>6741</v>
      </c>
      <c r="D519" s="2" t="s">
        <v>6742</v>
      </c>
      <c r="E519" s="2" t="s">
        <v>6743</v>
      </c>
      <c r="F519" s="2" t="s">
        <v>6744</v>
      </c>
      <c r="G519" s="2" t="s">
        <v>6745</v>
      </c>
      <c r="H519" s="2" t="s">
        <v>6746</v>
      </c>
      <c r="I519" s="2" t="s">
        <v>6747</v>
      </c>
      <c r="J519" s="2" t="s">
        <v>6748</v>
      </c>
      <c r="K519" s="3">
        <v>377335.72</v>
      </c>
      <c r="L519" s="3">
        <v>444631.01</v>
      </c>
      <c r="M519" s="3">
        <f>L519-K519</f>
      </c>
      <c r="N519" s="4">
        <f>IF(K519=0,0,M519/K519)</f>
      </c>
      <c r="O519" s="2" t="s">
        <v>6749</v>
      </c>
      <c r="P519" s="2" t="s">
        <v>6750</v>
      </c>
      <c r="Q519" s="2" t="s">
        <v>6751</v>
      </c>
      <c r="R519" s="2" t="s">
        <v>6752</v>
      </c>
      <c r="S519" s="2" t="s">
        <v>6753</v>
      </c>
    </row>
    <row customHeight="true" ht="15" r="520">
      <c r="A520" s="2">
        <v>2025</v>
      </c>
      <c r="B520" s="2">
        <v>11</v>
      </c>
      <c r="C520" s="2" t="s">
        <v>6754</v>
      </c>
      <c r="D520" s="2" t="s">
        <v>6755</v>
      </c>
      <c r="E520" s="2" t="s">
        <v>6756</v>
      </c>
      <c r="F520" s="2" t="s">
        <v>6757</v>
      </c>
      <c r="G520" s="2" t="s">
        <v>6758</v>
      </c>
      <c r="H520" s="2" t="s">
        <v>6759</v>
      </c>
      <c r="I520" s="2" t="s">
        <v>6760</v>
      </c>
      <c r="J520" s="2" t="s">
        <v>6761</v>
      </c>
      <c r="K520" s="3">
        <v>73745.12</v>
      </c>
      <c r="L520" s="3">
        <v>70655.27</v>
      </c>
      <c r="M520" s="3">
        <f>L520-K520</f>
      </c>
      <c r="N520" s="4">
        <f>IF(K520=0,0,M520/K520)</f>
      </c>
      <c r="O520" s="2" t="s">
        <v>6762</v>
      </c>
      <c r="P520" s="2" t="s">
        <v>6763</v>
      </c>
      <c r="Q520" s="2" t="s">
        <v>6764</v>
      </c>
      <c r="R520" s="2" t="s">
        <v>6765</v>
      </c>
      <c r="S520" s="2" t="s">
        <v>6766</v>
      </c>
    </row>
    <row customHeight="true" ht="15" r="521">
      <c r="A521" s="2">
        <v>2025</v>
      </c>
      <c r="B521" s="2">
        <v>11</v>
      </c>
      <c r="C521" s="2" t="s">
        <v>6767</v>
      </c>
      <c r="D521" s="2" t="s">
        <v>6768</v>
      </c>
      <c r="E521" s="2" t="s">
        <v>6769</v>
      </c>
      <c r="F521" s="2" t="s">
        <v>6770</v>
      </c>
      <c r="G521" s="2" t="s">
        <v>6771</v>
      </c>
      <c r="H521" s="2" t="s">
        <v>6772</v>
      </c>
      <c r="I521" s="2" t="s">
        <v>6773</v>
      </c>
      <c r="J521" s="2" t="s">
        <v>6774</v>
      </c>
      <c r="K521" s="3">
        <v>60478.67</v>
      </c>
      <c r="L521" s="3">
        <v>60136.17</v>
      </c>
      <c r="M521" s="3">
        <f>L521-K521</f>
      </c>
      <c r="N521" s="4">
        <f>IF(K521=0,0,M521/K521)</f>
      </c>
      <c r="O521" s="2" t="s">
        <v>6775</v>
      </c>
      <c r="P521" s="2" t="s">
        <v>6776</v>
      </c>
      <c r="Q521" s="2" t="s">
        <v>6777</v>
      </c>
      <c r="R521" s="2" t="s">
        <v>6778</v>
      </c>
      <c r="S521" s="2" t="s">
        <v>6779</v>
      </c>
    </row>
    <row customHeight="true" ht="15" r="522">
      <c r="A522" s="2">
        <v>2025</v>
      </c>
      <c r="B522" s="2">
        <v>11</v>
      </c>
      <c r="C522" s="2" t="s">
        <v>6780</v>
      </c>
      <c r="D522" s="2" t="s">
        <v>6781</v>
      </c>
      <c r="E522" s="2" t="s">
        <v>6782</v>
      </c>
      <c r="F522" s="2" t="s">
        <v>6783</v>
      </c>
      <c r="G522" s="2" t="s">
        <v>6784</v>
      </c>
      <c r="H522" s="2" t="s">
        <v>6785</v>
      </c>
      <c r="I522" s="2" t="s">
        <v>6786</v>
      </c>
      <c r="J522" s="2" t="s">
        <v>6787</v>
      </c>
      <c r="K522" s="3">
        <v>144428.9</v>
      </c>
      <c r="L522" s="3">
        <v>157641.25</v>
      </c>
      <c r="M522" s="3">
        <f>L522-K522</f>
      </c>
      <c r="N522" s="4">
        <f>IF(K522=0,0,M522/K522)</f>
      </c>
      <c r="O522" s="2" t="s">
        <v>6788</v>
      </c>
      <c r="P522" s="2" t="s">
        <v>6789</v>
      </c>
      <c r="Q522" s="2" t="s">
        <v>6790</v>
      </c>
      <c r="R522" s="2" t="s">
        <v>6791</v>
      </c>
      <c r="S522" s="2" t="s">
        <v>6792</v>
      </c>
    </row>
    <row customHeight="true" ht="15" r="523">
      <c r="A523" s="2">
        <v>2025</v>
      </c>
      <c r="B523" s="2">
        <v>11</v>
      </c>
      <c r="C523" s="2" t="s">
        <v>6793</v>
      </c>
      <c r="D523" s="2" t="s">
        <v>6794</v>
      </c>
      <c r="E523" s="2" t="s">
        <v>6795</v>
      </c>
      <c r="F523" s="2" t="s">
        <v>6796</v>
      </c>
      <c r="G523" s="2" t="s">
        <v>6797</v>
      </c>
      <c r="H523" s="2" t="s">
        <v>6798</v>
      </c>
      <c r="I523" s="2" t="s">
        <v>6799</v>
      </c>
      <c r="J523" s="2" t="s">
        <v>6800</v>
      </c>
      <c r="K523" s="3">
        <v>167571.57</v>
      </c>
      <c r="L523" s="3">
        <v>156586.11</v>
      </c>
      <c r="M523" s="3">
        <f>L523-K523</f>
      </c>
      <c r="N523" s="4">
        <f>IF(K523=0,0,M523/K523)</f>
      </c>
      <c r="O523" s="2" t="s">
        <v>6801</v>
      </c>
      <c r="P523" s="2" t="s">
        <v>6802</v>
      </c>
      <c r="Q523" s="2" t="s">
        <v>6803</v>
      </c>
      <c r="R523" s="2" t="s">
        <v>6804</v>
      </c>
      <c r="S523" s="2" t="s">
        <v>6805</v>
      </c>
    </row>
    <row customHeight="true" ht="15" r="524">
      <c r="A524" s="2">
        <v>2025</v>
      </c>
      <c r="B524" s="2">
        <v>11</v>
      </c>
      <c r="C524" s="2" t="s">
        <v>6806</v>
      </c>
      <c r="D524" s="2" t="s">
        <v>6807</v>
      </c>
      <c r="E524" s="2" t="s">
        <v>6808</v>
      </c>
      <c r="F524" s="2" t="s">
        <v>6809</v>
      </c>
      <c r="G524" s="2" t="s">
        <v>6810</v>
      </c>
      <c r="H524" s="2" t="s">
        <v>6811</v>
      </c>
      <c r="I524" s="2" t="s">
        <v>6812</v>
      </c>
      <c r="J524" s="2" t="s">
        <v>6813</v>
      </c>
      <c r="K524" s="3">
        <v>184263.55</v>
      </c>
      <c r="L524" s="3">
        <v>201905.91</v>
      </c>
      <c r="M524" s="3">
        <f>L524-K524</f>
      </c>
      <c r="N524" s="4">
        <f>IF(K524=0,0,M524/K524)</f>
      </c>
      <c r="O524" s="2" t="s">
        <v>6814</v>
      </c>
      <c r="P524" s="2" t="s">
        <v>6815</v>
      </c>
      <c r="Q524" s="2" t="s">
        <v>6816</v>
      </c>
      <c r="R524" s="2" t="s">
        <v>6817</v>
      </c>
      <c r="S524" s="2" t="s">
        <v>6818</v>
      </c>
    </row>
    <row customHeight="true" ht="15" r="525">
      <c r="A525" s="2">
        <v>2025</v>
      </c>
      <c r="B525" s="2">
        <v>11</v>
      </c>
      <c r="C525" s="2" t="s">
        <v>6819</v>
      </c>
      <c r="D525" s="2" t="s">
        <v>6820</v>
      </c>
      <c r="E525" s="2" t="s">
        <v>6821</v>
      </c>
      <c r="F525" s="2" t="s">
        <v>6822</v>
      </c>
      <c r="G525" s="2" t="s">
        <v>6823</v>
      </c>
      <c r="H525" s="2" t="s">
        <v>6824</v>
      </c>
      <c r="I525" s="2" t="s">
        <v>6825</v>
      </c>
      <c r="J525" s="2" t="s">
        <v>6826</v>
      </c>
      <c r="K525" s="3">
        <v>351659.02</v>
      </c>
      <c r="L525" s="3">
        <v>349179.37</v>
      </c>
      <c r="M525" s="3">
        <f>L525-K525</f>
      </c>
      <c r="N525" s="4">
        <f>IF(K525=0,0,M525/K525)</f>
      </c>
      <c r="O525" s="2" t="s">
        <v>6827</v>
      </c>
      <c r="P525" s="2" t="s">
        <v>6828</v>
      </c>
      <c r="Q525" s="2" t="s">
        <v>6829</v>
      </c>
      <c r="R525" s="2" t="s">
        <v>6830</v>
      </c>
      <c r="S525" s="2" t="s">
        <v>6831</v>
      </c>
    </row>
    <row customHeight="true" ht="15" r="526">
      <c r="A526" s="2">
        <v>2025</v>
      </c>
      <c r="B526" s="2">
        <v>11</v>
      </c>
      <c r="C526" s="2" t="s">
        <v>6832</v>
      </c>
      <c r="D526" s="2" t="s">
        <v>6833</v>
      </c>
      <c r="E526" s="2" t="s">
        <v>6834</v>
      </c>
      <c r="F526" s="2" t="s">
        <v>6835</v>
      </c>
      <c r="G526" s="2" t="s">
        <v>6836</v>
      </c>
      <c r="H526" s="2" t="s">
        <v>6837</v>
      </c>
      <c r="I526" s="2" t="s">
        <v>6838</v>
      </c>
      <c r="J526" s="2" t="s">
        <v>6839</v>
      </c>
      <c r="K526" s="3">
        <v>89065.28</v>
      </c>
      <c r="L526" s="3">
        <v>81094.98</v>
      </c>
      <c r="M526" s="3">
        <f>L526-K526</f>
      </c>
      <c r="N526" s="4">
        <f>IF(K526=0,0,M526/K526)</f>
      </c>
      <c r="O526" s="2" t="s">
        <v>6840</v>
      </c>
      <c r="P526" s="2" t="s">
        <v>6841</v>
      </c>
      <c r="Q526" s="2" t="s">
        <v>6842</v>
      </c>
      <c r="R526" s="2" t="s">
        <v>6843</v>
      </c>
      <c r="S526" s="2" t="s">
        <v>6844</v>
      </c>
    </row>
    <row customHeight="true" ht="15" r="527">
      <c r="A527" s="2">
        <v>2025</v>
      </c>
      <c r="B527" s="2">
        <v>12</v>
      </c>
      <c r="C527" s="2" t="s">
        <v>6845</v>
      </c>
      <c r="D527" s="2" t="s">
        <v>6846</v>
      </c>
      <c r="E527" s="2" t="s">
        <v>6847</v>
      </c>
      <c r="F527" s="2" t="s">
        <v>6848</v>
      </c>
      <c r="G527" s="2" t="s">
        <v>6849</v>
      </c>
      <c r="H527" s="2" t="s">
        <v>6850</v>
      </c>
      <c r="I527" s="2" t="s">
        <v>6851</v>
      </c>
      <c r="J527" s="2" t="s">
        <v>6852</v>
      </c>
      <c r="K527" s="3">
        <v>131254.49</v>
      </c>
      <c r="L527" s="3">
        <v>130155.7</v>
      </c>
      <c r="M527" s="3">
        <f>L527-K527</f>
      </c>
      <c r="N527" s="4">
        <f>IF(K527=0,0,M527/K527)</f>
      </c>
      <c r="O527" s="2" t="s">
        <v>6853</v>
      </c>
      <c r="P527" s="2" t="s">
        <v>6854</v>
      </c>
      <c r="Q527" s="2" t="s">
        <v>6855</v>
      </c>
      <c r="R527" s="2" t="s">
        <v>6856</v>
      </c>
      <c r="S527" s="2" t="s">
        <v>6857</v>
      </c>
    </row>
    <row customHeight="true" ht="15" r="528">
      <c r="A528" s="2">
        <v>2025</v>
      </c>
      <c r="B528" s="2">
        <v>12</v>
      </c>
      <c r="C528" s="2" t="s">
        <v>6858</v>
      </c>
      <c r="D528" s="2" t="s">
        <v>6859</v>
      </c>
      <c r="E528" s="2" t="s">
        <v>6860</v>
      </c>
      <c r="F528" s="2" t="s">
        <v>6861</v>
      </c>
      <c r="G528" s="2" t="s">
        <v>6862</v>
      </c>
      <c r="H528" s="2" t="s">
        <v>6863</v>
      </c>
      <c r="I528" s="2" t="s">
        <v>6864</v>
      </c>
      <c r="J528" s="2" t="s">
        <v>6865</v>
      </c>
      <c r="K528" s="3">
        <v>45546.8</v>
      </c>
      <c r="L528" s="3">
        <v>57215.2</v>
      </c>
      <c r="M528" s="3">
        <f>L528-K528</f>
      </c>
      <c r="N528" s="4">
        <f>IF(K528=0,0,M528/K528)</f>
      </c>
      <c r="O528" s="2" t="s">
        <v>6866</v>
      </c>
      <c r="P528" s="2" t="s">
        <v>6867</v>
      </c>
      <c r="Q528" s="2" t="s">
        <v>6868</v>
      </c>
      <c r="R528" s="2" t="s">
        <v>6869</v>
      </c>
      <c r="S528" s="2" t="s">
        <v>6870</v>
      </c>
    </row>
    <row customHeight="true" ht="15" r="529">
      <c r="A529" s="2">
        <v>2025</v>
      </c>
      <c r="B529" s="2">
        <v>12</v>
      </c>
      <c r="C529" s="2" t="s">
        <v>6871</v>
      </c>
      <c r="D529" s="2" t="s">
        <v>6872</v>
      </c>
      <c r="E529" s="2" t="s">
        <v>6873</v>
      </c>
      <c r="F529" s="2" t="s">
        <v>6874</v>
      </c>
      <c r="G529" s="2" t="s">
        <v>6875</v>
      </c>
      <c r="H529" s="2" t="s">
        <v>6876</v>
      </c>
      <c r="I529" s="2" t="s">
        <v>6877</v>
      </c>
      <c r="J529" s="2" t="s">
        <v>6878</v>
      </c>
      <c r="K529" s="3">
        <v>44356.03</v>
      </c>
      <c r="L529" s="3">
        <v>52162.39</v>
      </c>
      <c r="M529" s="3">
        <f>L529-K529</f>
      </c>
      <c r="N529" s="4">
        <f>IF(K529=0,0,M529/K529)</f>
      </c>
      <c r="O529" s="2" t="s">
        <v>6879</v>
      </c>
      <c r="P529" s="2" t="s">
        <v>6880</v>
      </c>
      <c r="Q529" s="2" t="s">
        <v>6881</v>
      </c>
      <c r="R529" s="2" t="s">
        <v>6882</v>
      </c>
      <c r="S529" s="2" t="s">
        <v>6883</v>
      </c>
    </row>
    <row customHeight="true" ht="15" r="530">
      <c r="A530" s="2">
        <v>2025</v>
      </c>
      <c r="B530" s="2">
        <v>12</v>
      </c>
      <c r="C530" s="2" t="s">
        <v>6884</v>
      </c>
      <c r="D530" s="2" t="s">
        <v>6885</v>
      </c>
      <c r="E530" s="2" t="s">
        <v>6886</v>
      </c>
      <c r="F530" s="2" t="s">
        <v>6887</v>
      </c>
      <c r="G530" s="2" t="s">
        <v>6888</v>
      </c>
      <c r="H530" s="2" t="s">
        <v>6889</v>
      </c>
      <c r="I530" s="2" t="s">
        <v>6890</v>
      </c>
      <c r="J530" s="2" t="s">
        <v>6891</v>
      </c>
      <c r="K530" s="3">
        <v>5622.41</v>
      </c>
      <c r="L530" s="3">
        <v>6658.34</v>
      </c>
      <c r="M530" s="3">
        <f>L530-K530</f>
      </c>
      <c r="N530" s="4">
        <f>IF(K530=0,0,M530/K530)</f>
      </c>
      <c r="O530" s="2" t="s">
        <v>6892</v>
      </c>
      <c r="P530" s="2" t="s">
        <v>6893</v>
      </c>
      <c r="Q530" s="2" t="s">
        <v>6894</v>
      </c>
      <c r="R530" s="2" t="s">
        <v>6895</v>
      </c>
      <c r="S530" s="2" t="s">
        <v>6896</v>
      </c>
    </row>
    <row customHeight="true" ht="15" r="531">
      <c r="A531" s="2">
        <v>2025</v>
      </c>
      <c r="B531" s="2">
        <v>12</v>
      </c>
      <c r="C531" s="2" t="s">
        <v>6897</v>
      </c>
      <c r="D531" s="2" t="s">
        <v>6898</v>
      </c>
      <c r="E531" s="2" t="s">
        <v>6899</v>
      </c>
      <c r="F531" s="2" t="s">
        <v>6900</v>
      </c>
      <c r="G531" s="2" t="s">
        <v>6901</v>
      </c>
      <c r="H531" s="2" t="s">
        <v>6902</v>
      </c>
      <c r="I531" s="2" t="s">
        <v>6903</v>
      </c>
      <c r="J531" s="2" t="s">
        <v>6904</v>
      </c>
      <c r="K531" s="3">
        <v>25488.4</v>
      </c>
      <c r="L531" s="3">
        <v>29145.31</v>
      </c>
      <c r="M531" s="3">
        <f>L531-K531</f>
      </c>
      <c r="N531" s="4">
        <f>IF(K531=0,0,M531/K531)</f>
      </c>
      <c r="O531" s="2" t="s">
        <v>6905</v>
      </c>
      <c r="P531" s="2" t="s">
        <v>6906</v>
      </c>
      <c r="Q531" s="2" t="s">
        <v>6907</v>
      </c>
      <c r="R531" s="2" t="s">
        <v>6908</v>
      </c>
      <c r="S531" s="2" t="s">
        <v>6909</v>
      </c>
    </row>
    <row customHeight="true" ht="15" r="532">
      <c r="A532" s="2">
        <v>2025</v>
      </c>
      <c r="B532" s="2">
        <v>12</v>
      </c>
      <c r="C532" s="2" t="s">
        <v>6910</v>
      </c>
      <c r="D532" s="2" t="s">
        <v>6911</v>
      </c>
      <c r="E532" s="2" t="s">
        <v>6912</v>
      </c>
      <c r="F532" s="2" t="s">
        <v>6913</v>
      </c>
      <c r="G532" s="2" t="s">
        <v>6914</v>
      </c>
      <c r="H532" s="2" t="s">
        <v>6915</v>
      </c>
      <c r="I532" s="2" t="s">
        <v>6916</v>
      </c>
      <c r="J532" s="2" t="s">
        <v>6917</v>
      </c>
      <c r="K532" s="3">
        <v>127265.62</v>
      </c>
      <c r="L532" s="3">
        <v>146046.51</v>
      </c>
      <c r="M532" s="3">
        <f>L532-K532</f>
      </c>
      <c r="N532" s="4">
        <f>IF(K532=0,0,M532/K532)</f>
      </c>
      <c r="O532" s="2" t="s">
        <v>6918</v>
      </c>
      <c r="P532" s="2" t="s">
        <v>6919</v>
      </c>
      <c r="Q532" s="2" t="s">
        <v>6920</v>
      </c>
      <c r="R532" s="2" t="s">
        <v>6921</v>
      </c>
      <c r="S532" s="2" t="s">
        <v>6922</v>
      </c>
    </row>
    <row customHeight="true" ht="15" r="533">
      <c r="A533" s="2">
        <v>2025</v>
      </c>
      <c r="B533" s="2">
        <v>12</v>
      </c>
      <c r="C533" s="2" t="s">
        <v>6923</v>
      </c>
      <c r="D533" s="2" t="s">
        <v>6924</v>
      </c>
      <c r="E533" s="2" t="s">
        <v>6925</v>
      </c>
      <c r="F533" s="2" t="s">
        <v>6926</v>
      </c>
      <c r="G533" s="2" t="s">
        <v>6927</v>
      </c>
      <c r="H533" s="2" t="s">
        <v>6928</v>
      </c>
      <c r="I533" s="2" t="s">
        <v>6929</v>
      </c>
      <c r="J533" s="2" t="s">
        <v>6930</v>
      </c>
      <c r="K533" s="3">
        <v>485366.54</v>
      </c>
      <c r="L533" s="3">
        <v>527381.17</v>
      </c>
      <c r="M533" s="3">
        <f>L533-K533</f>
      </c>
      <c r="N533" s="4">
        <f>IF(K533=0,0,M533/K533)</f>
      </c>
      <c r="O533" s="2" t="s">
        <v>6931</v>
      </c>
      <c r="P533" s="2" t="s">
        <v>6932</v>
      </c>
      <c r="Q533" s="2" t="s">
        <v>6933</v>
      </c>
      <c r="R533" s="2" t="s">
        <v>6934</v>
      </c>
      <c r="S533" s="2" t="s">
        <v>6935</v>
      </c>
    </row>
    <row customHeight="true" ht="15" r="534">
      <c r="A534" s="2">
        <v>2025</v>
      </c>
      <c r="B534" s="2">
        <v>12</v>
      </c>
      <c r="C534" s="2" t="s">
        <v>6936</v>
      </c>
      <c r="D534" s="2" t="s">
        <v>6937</v>
      </c>
      <c r="E534" s="2" t="s">
        <v>6938</v>
      </c>
      <c r="F534" s="2" t="s">
        <v>6939</v>
      </c>
      <c r="G534" s="2" t="s">
        <v>6940</v>
      </c>
      <c r="H534" s="2" t="s">
        <v>6941</v>
      </c>
      <c r="I534" s="2" t="s">
        <v>6942</v>
      </c>
      <c r="J534" s="2" t="s">
        <v>6943</v>
      </c>
      <c r="K534" s="3">
        <v>162357.75</v>
      </c>
      <c r="L534" s="3">
        <v>155860.34</v>
      </c>
      <c r="M534" s="3">
        <f>L534-K534</f>
      </c>
      <c r="N534" s="4">
        <f>IF(K534=0,0,M534/K534)</f>
      </c>
      <c r="O534" s="2" t="s">
        <v>6944</v>
      </c>
      <c r="P534" s="2" t="s">
        <v>6945</v>
      </c>
      <c r="Q534" s="2" t="s">
        <v>6946</v>
      </c>
      <c r="R534" s="2" t="s">
        <v>6947</v>
      </c>
      <c r="S534" s="2" t="s">
        <v>6948</v>
      </c>
    </row>
    <row customHeight="true" ht="15" r="535">
      <c r="A535" s="2">
        <v>2025</v>
      </c>
      <c r="B535" s="2">
        <v>12</v>
      </c>
      <c r="C535" s="2" t="s">
        <v>6949</v>
      </c>
      <c r="D535" s="2" t="s">
        <v>6950</v>
      </c>
      <c r="E535" s="2" t="s">
        <v>6951</v>
      </c>
      <c r="F535" s="2" t="s">
        <v>6952</v>
      </c>
      <c r="G535" s="2" t="s">
        <v>6953</v>
      </c>
      <c r="H535" s="2" t="s">
        <v>6954</v>
      </c>
      <c r="I535" s="2" t="s">
        <v>6955</v>
      </c>
      <c r="J535" s="2" t="s">
        <v>6956</v>
      </c>
      <c r="K535" s="3">
        <v>453777.66</v>
      </c>
      <c r="L535" s="3">
        <v>435694.44</v>
      </c>
      <c r="M535" s="3">
        <f>L535-K535</f>
      </c>
      <c r="N535" s="4">
        <f>IF(K535=0,0,M535/K535)</f>
      </c>
      <c r="O535" s="2" t="s">
        <v>6957</v>
      </c>
      <c r="P535" s="2" t="s">
        <v>6958</v>
      </c>
      <c r="Q535" s="2" t="s">
        <v>6959</v>
      </c>
      <c r="R535" s="2" t="s">
        <v>6960</v>
      </c>
      <c r="S535" s="2" t="s">
        <v>6961</v>
      </c>
    </row>
    <row customHeight="true" ht="15" r="536">
      <c r="A536" s="2">
        <v>2025</v>
      </c>
      <c r="B536" s="2">
        <v>12</v>
      </c>
      <c r="C536" s="2" t="s">
        <v>6962</v>
      </c>
      <c r="D536" s="2" t="s">
        <v>6963</v>
      </c>
      <c r="E536" s="2" t="s">
        <v>6964</v>
      </c>
      <c r="F536" s="2" t="s">
        <v>6965</v>
      </c>
      <c r="G536" s="2" t="s">
        <v>6966</v>
      </c>
      <c r="H536" s="2" t="s">
        <v>6967</v>
      </c>
      <c r="I536" s="2" t="s">
        <v>6968</v>
      </c>
      <c r="J536" s="2" t="s">
        <v>6969</v>
      </c>
      <c r="K536" s="3">
        <v>480599.1</v>
      </c>
      <c r="L536" s="3">
        <v>487209.94</v>
      </c>
      <c r="M536" s="3">
        <f>L536-K536</f>
      </c>
      <c r="N536" s="4">
        <f>IF(K536=0,0,M536/K536)</f>
      </c>
      <c r="O536" s="2" t="s">
        <v>6970</v>
      </c>
      <c r="P536" s="2" t="s">
        <v>6971</v>
      </c>
      <c r="Q536" s="2" t="s">
        <v>6972</v>
      </c>
      <c r="R536" s="2" t="s">
        <v>6973</v>
      </c>
      <c r="S536" s="2" t="s">
        <v>6974</v>
      </c>
    </row>
    <row customHeight="true" ht="15" r="537">
      <c r="A537" s="2">
        <v>2025</v>
      </c>
      <c r="B537" s="2">
        <v>12</v>
      </c>
      <c r="C537" s="2" t="s">
        <v>6975</v>
      </c>
      <c r="D537" s="2" t="s">
        <v>6976</v>
      </c>
      <c r="E537" s="2" t="s">
        <v>6977</v>
      </c>
      <c r="F537" s="2" t="s">
        <v>6978</v>
      </c>
      <c r="G537" s="2" t="s">
        <v>6979</v>
      </c>
      <c r="H537" s="2" t="s">
        <v>6980</v>
      </c>
      <c r="I537" s="2" t="s">
        <v>6981</v>
      </c>
      <c r="J537" s="2" t="s">
        <v>6982</v>
      </c>
      <c r="K537" s="3">
        <v>346034.42</v>
      </c>
      <c r="L537" s="3">
        <v>315532.4</v>
      </c>
      <c r="M537" s="3">
        <f>L537-K537</f>
      </c>
      <c r="N537" s="4">
        <f>IF(K537=0,0,M537/K537)</f>
      </c>
      <c r="O537" s="2" t="s">
        <v>6983</v>
      </c>
      <c r="P537" s="2" t="s">
        <v>6984</v>
      </c>
      <c r="Q537" s="2" t="s">
        <v>6985</v>
      </c>
      <c r="R537" s="2" t="s">
        <v>6986</v>
      </c>
      <c r="S537" s="2" t="s">
        <v>6987</v>
      </c>
    </row>
    <row customHeight="true" ht="15" r="538">
      <c r="A538" s="2">
        <v>2025</v>
      </c>
      <c r="B538" s="2">
        <v>12</v>
      </c>
      <c r="C538" s="2" t="s">
        <v>6988</v>
      </c>
      <c r="D538" s="2" t="s">
        <v>6989</v>
      </c>
      <c r="E538" s="2" t="s">
        <v>6990</v>
      </c>
      <c r="F538" s="2" t="s">
        <v>6991</v>
      </c>
      <c r="G538" s="2" t="s">
        <v>6992</v>
      </c>
      <c r="H538" s="2" t="s">
        <v>6993</v>
      </c>
      <c r="I538" s="2" t="s">
        <v>6994</v>
      </c>
      <c r="J538" s="2" t="s">
        <v>6995</v>
      </c>
      <c r="K538" s="3">
        <v>95917.15</v>
      </c>
      <c r="L538" s="3">
        <v>101985.26</v>
      </c>
      <c r="M538" s="3">
        <f>L538-K538</f>
      </c>
      <c r="N538" s="4">
        <f>IF(K538=0,0,M538/K538)</f>
      </c>
      <c r="O538" s="2" t="s">
        <v>6996</v>
      </c>
      <c r="P538" s="2" t="s">
        <v>6997</v>
      </c>
      <c r="Q538" s="2" t="s">
        <v>6998</v>
      </c>
      <c r="R538" s="2" t="s">
        <v>6999</v>
      </c>
      <c r="S538" s="2" t="s">
        <v>7000</v>
      </c>
    </row>
    <row customHeight="true" ht="15" r="539">
      <c r="A539" s="2">
        <v>2025</v>
      </c>
      <c r="B539" s="2">
        <v>12</v>
      </c>
      <c r="C539" s="2" t="s">
        <v>7001</v>
      </c>
      <c r="D539" s="2" t="s">
        <v>7002</v>
      </c>
      <c r="E539" s="2" t="s">
        <v>7003</v>
      </c>
      <c r="F539" s="2" t="s">
        <v>7004</v>
      </c>
      <c r="G539" s="2" t="s">
        <v>7005</v>
      </c>
      <c r="H539" s="2" t="s">
        <v>7006</v>
      </c>
      <c r="I539" s="2" t="s">
        <v>7007</v>
      </c>
      <c r="J539" s="2" t="s">
        <v>7008</v>
      </c>
      <c r="K539" s="3">
        <v>152179.6</v>
      </c>
      <c r="L539" s="3">
        <v>140326.05</v>
      </c>
      <c r="M539" s="3">
        <f>L539-K539</f>
      </c>
      <c r="N539" s="4">
        <f>IF(K539=0,0,M539/K539)</f>
      </c>
      <c r="O539" s="2" t="s">
        <v>7009</v>
      </c>
      <c r="P539" s="2" t="s">
        <v>7010</v>
      </c>
      <c r="Q539" s="2" t="s">
        <v>7011</v>
      </c>
      <c r="R539" s="2" t="s">
        <v>7012</v>
      </c>
      <c r="S539" s="2" t="s">
        <v>7013</v>
      </c>
    </row>
    <row customHeight="true" ht="15" r="540">
      <c r="A540" s="2">
        <v>2025</v>
      </c>
      <c r="B540" s="2">
        <v>12</v>
      </c>
      <c r="C540" s="2" t="s">
        <v>7014</v>
      </c>
      <c r="D540" s="2" t="s">
        <v>7015</v>
      </c>
      <c r="E540" s="2" t="s">
        <v>7016</v>
      </c>
      <c r="F540" s="2" t="s">
        <v>7017</v>
      </c>
      <c r="G540" s="2" t="s">
        <v>7018</v>
      </c>
      <c r="H540" s="2" t="s">
        <v>7019</v>
      </c>
      <c r="I540" s="2" t="s">
        <v>7020</v>
      </c>
      <c r="J540" s="2" t="s">
        <v>7021</v>
      </c>
      <c r="K540" s="3">
        <v>135201.61</v>
      </c>
      <c r="L540" s="3">
        <v>155134.6</v>
      </c>
      <c r="M540" s="3">
        <f>L540-K540</f>
      </c>
      <c r="N540" s="4">
        <f>IF(K540=0,0,M540/K540)</f>
      </c>
      <c r="O540" s="2" t="s">
        <v>7022</v>
      </c>
      <c r="P540" s="2" t="s">
        <v>7023</v>
      </c>
      <c r="Q540" s="2" t="s">
        <v>7024</v>
      </c>
      <c r="R540" s="2" t="s">
        <v>7025</v>
      </c>
      <c r="S540" s="2" t="s">
        <v>7026</v>
      </c>
    </row>
    <row customHeight="true" ht="15" r="541">
      <c r="A541" s="2">
        <v>2025</v>
      </c>
      <c r="B541" s="2">
        <v>12</v>
      </c>
      <c r="C541" s="2" t="s">
        <v>7027</v>
      </c>
      <c r="D541" s="2" t="s">
        <v>7028</v>
      </c>
      <c r="E541" s="2" t="s">
        <v>7029</v>
      </c>
      <c r="F541" s="2" t="s">
        <v>7030</v>
      </c>
      <c r="G541" s="2" t="s">
        <v>7031</v>
      </c>
      <c r="H541" s="2" t="s">
        <v>7032</v>
      </c>
      <c r="I541" s="2" t="s">
        <v>7033</v>
      </c>
      <c r="J541" s="2" t="s">
        <v>7034</v>
      </c>
      <c r="K541" s="3">
        <v>105868.28</v>
      </c>
      <c r="L541" s="3">
        <v>111047.01</v>
      </c>
      <c r="M541" s="3">
        <f>L541-K541</f>
      </c>
      <c r="N541" s="4">
        <f>IF(K541=0,0,M541/K541)</f>
      </c>
      <c r="O541" s="2" t="s">
        <v>7035</v>
      </c>
      <c r="P541" s="2" t="s">
        <v>7036</v>
      </c>
      <c r="Q541" s="2" t="s">
        <v>7037</v>
      </c>
      <c r="R541" s="2" t="s">
        <v>7038</v>
      </c>
      <c r="S541" s="2" t="s">
        <v>7039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