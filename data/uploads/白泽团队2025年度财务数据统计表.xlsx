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2025年度财务数据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<sst xmlns="http://schemas.openxmlformats.org/spreadsheetml/2006/main" count="25" uniqueCount="25">
  <si>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月份</t>
  </si>
  <si>
    <t>主营业务收入</t>
  </si>
  <si>
    <t>其他业务收入</t>
  </si>
  <si>
    <t>总收入</t>
  </si>
  <si>
    <t>主营业务成本</t>
  </si>
  <si>
    <t>运营费用</t>
  </si>
  <si>
    <t>研发费用</t>
  </si>
  <si>
    <t>管理费用</t>
  </si>
  <si>
    <t>总支出</t>
  </si>
  <si>
    <t>营业利润</t>
  </si>
  <si>
    <t>净利润</t>
  </si>
  <si>
    <t>净利润率</t>
  </si>
  <si>
    <t>1月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</si>
  <si>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</si>
  <si>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</si>
  <si>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</si>
  <si>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</si>
  <si>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</si>
  <si>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</si>
  <si>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</si>
  <si>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</si>
  <si>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</si>
  <si>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</si>
  <si>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</si>
  <si>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年度汇总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</si>
</sst>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\¥#,##0.00"/>
  </numFmts>
  <fonts count="24">
    <font>
      <sz val="10"/>
      <color theme="1"/>
      <name val="等线"/>
      <charset val="134"/>
      <scheme val="minor"/>
    </font>
    <font>
      <b/>
      <sz val="11"/>
      <color rgb="FFFFFFFF"/>
      <name val="微软雅黑"/>
      <charset val="134"/>
    </font>
    <font>
      <sz val="11"/>
      <color rgb="FF333333"/>
      <name val="微软雅黑"/>
      <charset val="134"/>
    </font>
    <font>
      <b/>
      <sz val="11"/>
      <color rgb="FF000000"/>
      <name val="微软雅黑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EBF1F8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Protection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5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7" borderId="5" applyNumberFormat="0" applyAlignment="0" applyProtection="0">
      <alignment vertical="center"/>
    </xf>
    <xf numFmtId="0" fontId="16" fillId="8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</cellStyleXfs>
  <cellXfs count="11"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176" fontId="2" fillId="3" borderId="1" xfId="0" applyNumberFormat="1" applyFont="1" applyFill="1" applyBorder="1" applyAlignment="1">
      <alignment horizontal="right" vertical="center"/>
    </xf>
    <xf numFmtId="10" fontId="2" fillId="3" borderId="1" xfId="0" applyNumberFormat="1" applyFont="1" applyFill="1" applyBorder="1" applyAlignment="1">
      <alignment horizontal="right" vertical="center"/>
    </xf>
    <xf numFmtId="0" fontId="2" fillId="0" borderId="1" xfId="0" applyFont="1" applyBorder="1" applyAlignment="1">
      <alignment horizontal="center" vertical="center"/>
    </xf>
    <xf numFmtId="176" fontId="2" fillId="0" borderId="1" xfId="0" applyNumberFormat="1" applyFont="1" applyBorder="1" applyAlignment="1">
      <alignment horizontal="right" vertical="center"/>
    </xf>
    <xf numFmtId="10" fontId="2" fillId="0" borderId="1" xfId="0" applyNumberFormat="1" applyFont="1" applyBorder="1" applyAlignment="1">
      <alignment horizontal="right" vertical="center"/>
    </xf>
    <xf numFmtId="0" fontId="3" fillId="4" borderId="1" xfId="0" applyFont="1" applyFill="1" applyBorder="1" applyAlignment="1">
      <alignment horizontal="center" vertical="center"/>
    </xf>
    <xf numFmtId="176" fontId="3" fillId="4" borderId="1" xfId="0" applyNumberFormat="1" applyFont="1" applyFill="1" applyBorder="1" applyAlignment="1">
      <alignment horizontal="right" vertical="center"/>
    </xf>
    <xf numFmtId="10" fontId="3" fillId="4" borderId="1" xfId="0" applyNumberFormat="1" applyFont="1" applyFill="1" applyBorder="1" applyAlignment="1">
      <alignment horizontal="righ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L14"/>
  <sheetViews>
    <sheetView tabSelected="1" workbookViewId="0">
      <pane xSplit="1" ySplit="1" topLeftCell="B3" activePane="bottomRight" state="frozen"/>
      <selection/>
      <selection pane="topRight"/>
      <selection pane="bottomLeft"/>
      <selection pane="bottomRight" activeCell="F21" sqref="F21"/>
    </sheetView>
  </sheetViews>
  <sheetFormatPr defaultColWidth="14" defaultRowHeight="13.2"/>
  <cols>
    <col min="1" max="1" width="37" customWidth="1"/>
    <col min="2" max="8" width="17" customWidth="1"/>
    <col min="9" max="9" width="21" customWidth="1"/>
    <col min="10" max="11" width="17" customWidth="1"/>
    <col min="12" max="12" width="25" customWidth="1"/>
  </cols>
  <sheetData>
    <row r="1" ht="29" customHeight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ht="22" customHeight="1" spans="1:12">
      <c r="A2" s="2" t="s">
        <v>12</v>
      </c>
      <c r="B2" s="3">
        <v>1200000</v>
      </c>
      <c r="C2" s="3">
        <v>150000</v>
      </c>
      <c r="D2" s="3">
        <f t="shared" ref="D2:D13" si="0">B2+C2</f>
        <v>1350000</v>
      </c>
      <c r="E2" s="3">
        <v>450000</v>
      </c>
      <c r="F2" s="3">
        <v>180000</v>
      </c>
      <c r="G2" s="3">
        <v>220000</v>
      </c>
      <c r="H2" s="3">
        <v>80000</v>
      </c>
      <c r="I2" s="3">
        <f t="shared" ref="I2:I13" si="1">E2+F2+G2+H2</f>
        <v>930000</v>
      </c>
      <c r="J2" s="3">
        <f t="shared" ref="J2:J13" si="2">D2-I2</f>
        <v>420000</v>
      </c>
      <c r="K2" s="3">
        <f t="shared" ref="K2:K13" si="3">J2*0.75</f>
        <v>315000</v>
      </c>
      <c r="L2" s="4">
        <f t="shared" ref="L2:L14" si="4">IF(D2=0,0,K2/D2)</f>
        <v>0.233333333333333</v>
      </c>
    </row>
    <row r="3" ht="22" customHeight="1" spans="1:12">
      <c r="A3" s="5" t="s">
        <v>13</v>
      </c>
      <c r="B3" s="6">
        <v>1100000</v>
      </c>
      <c r="C3" s="6">
        <v>120000</v>
      </c>
      <c r="D3" s="6">
        <f t="shared" si="0"/>
        <v>1220000</v>
      </c>
      <c r="E3" s="6">
        <v>420000</v>
      </c>
      <c r="F3" s="6">
        <v>170000</v>
      </c>
      <c r="G3" s="6">
        <v>210000</v>
      </c>
      <c r="H3" s="6">
        <v>75000</v>
      </c>
      <c r="I3" s="6">
        <f t="shared" si="1"/>
        <v>875000</v>
      </c>
      <c r="J3" s="6">
        <f t="shared" si="2"/>
        <v>345000</v>
      </c>
      <c r="K3" s="6">
        <f t="shared" si="3"/>
        <v>258750</v>
      </c>
      <c r="L3" s="7">
        <f t="shared" si="4"/>
        <v>0.212090163934426</v>
      </c>
    </row>
    <row r="4" ht="22" customHeight="1" spans="1:12">
      <c r="A4" s="2" t="s">
        <v>14</v>
      </c>
      <c r="B4" s="3">
        <v>1350000</v>
      </c>
      <c r="C4" s="3">
        <v>180000</v>
      </c>
      <c r="D4" s="3">
        <f t="shared" si="0"/>
        <v>1530000</v>
      </c>
      <c r="E4" s="3">
        <v>480000</v>
      </c>
      <c r="F4" s="3">
        <v>190000</v>
      </c>
      <c r="G4" s="3">
        <v>230000</v>
      </c>
      <c r="H4" s="3">
        <v>85000</v>
      </c>
      <c r="I4" s="3">
        <f t="shared" si="1"/>
        <v>985000</v>
      </c>
      <c r="J4" s="3">
        <f t="shared" si="2"/>
        <v>545000</v>
      </c>
      <c r="K4" s="3">
        <f t="shared" si="3"/>
        <v>408750</v>
      </c>
      <c r="L4" s="4">
        <f t="shared" si="4"/>
        <v>0.267156862745098</v>
      </c>
    </row>
    <row r="5" ht="22" customHeight="1" spans="1:12">
      <c r="A5" s="5" t="s">
        <v>15</v>
      </c>
      <c r="B5" s="6">
        <v>1280000</v>
      </c>
      <c r="C5" s="6">
        <v>160000</v>
      </c>
      <c r="D5" s="6">
        <f t="shared" si="0"/>
        <v>1440000</v>
      </c>
      <c r="E5" s="6">
        <v>460000</v>
      </c>
      <c r="F5" s="6">
        <v>185000</v>
      </c>
      <c r="G5" s="6">
        <v>225000</v>
      </c>
      <c r="H5" s="6">
        <v>82000</v>
      </c>
      <c r="I5" s="6">
        <f t="shared" si="1"/>
        <v>952000</v>
      </c>
      <c r="J5" s="6">
        <f t="shared" si="2"/>
        <v>488000</v>
      </c>
      <c r="K5" s="6">
        <f t="shared" si="3"/>
        <v>366000</v>
      </c>
      <c r="L5" s="7">
        <f t="shared" si="4"/>
        <v>0.254166666666667</v>
      </c>
    </row>
    <row r="6" ht="22" customHeight="1" spans="1:12">
      <c r="A6" s="2" t="s">
        <v>16</v>
      </c>
      <c r="B6" s="3">
        <v>1420000</v>
      </c>
      <c r="C6" s="3">
        <v>200000</v>
      </c>
      <c r="D6" s="3">
        <f t="shared" si="0"/>
        <v>1620000</v>
      </c>
      <c r="E6" s="3">
        <v>500000</v>
      </c>
      <c r="F6" s="3">
        <v>200000</v>
      </c>
      <c r="G6" s="3">
        <v>240000</v>
      </c>
      <c r="H6" s="3">
        <v>90000</v>
      </c>
      <c r="I6" s="3">
        <f t="shared" si="1"/>
        <v>1030000</v>
      </c>
      <c r="J6" s="3">
        <f t="shared" si="2"/>
        <v>590000</v>
      </c>
      <c r="K6" s="3">
        <f t="shared" si="3"/>
        <v>442500</v>
      </c>
      <c r="L6" s="4">
        <f t="shared" si="4"/>
        <v>0.273148148148148</v>
      </c>
    </row>
    <row r="7" ht="22" customHeight="1" spans="1:12">
      <c r="A7" s="5" t="s">
        <v>17</v>
      </c>
      <c r="B7" s="6">
        <v>1550000</v>
      </c>
      <c r="C7" s="6">
        <v>220000</v>
      </c>
      <c r="D7" s="6">
        <f t="shared" si="0"/>
        <v>1770000</v>
      </c>
      <c r="E7" s="6">
        <v>520000</v>
      </c>
      <c r="F7" s="6">
        <v>210000</v>
      </c>
      <c r="G7" s="6">
        <v>250000</v>
      </c>
      <c r="H7" s="6">
        <v>95000</v>
      </c>
      <c r="I7" s="6">
        <f t="shared" si="1"/>
        <v>1075000</v>
      </c>
      <c r="J7" s="6">
        <f t="shared" si="2"/>
        <v>695000</v>
      </c>
      <c r="K7" s="6">
        <f t="shared" si="3"/>
        <v>521250</v>
      </c>
      <c r="L7" s="7">
        <f t="shared" si="4"/>
        <v>0.294491525423729</v>
      </c>
    </row>
    <row r="8" ht="22" customHeight="1" spans="1:12">
      <c r="A8" s="2" t="s">
        <v>18</v>
      </c>
      <c r="B8" s="3">
        <v>1480000</v>
      </c>
      <c r="C8" s="3">
        <v>210000</v>
      </c>
      <c r="D8" s="3">
        <f t="shared" si="0"/>
        <v>1690000</v>
      </c>
      <c r="E8" s="3">
        <v>510000</v>
      </c>
      <c r="F8" s="3">
        <v>205000</v>
      </c>
      <c r="G8" s="3">
        <v>245000</v>
      </c>
      <c r="H8" s="3">
        <v>92000</v>
      </c>
      <c r="I8" s="3">
        <f t="shared" si="1"/>
        <v>1052000</v>
      </c>
      <c r="J8" s="3">
        <f t="shared" si="2"/>
        <v>638000</v>
      </c>
      <c r="K8" s="3">
        <f t="shared" si="3"/>
        <v>478500</v>
      </c>
      <c r="L8" s="4">
        <f t="shared" si="4"/>
        <v>0.283136094674556</v>
      </c>
    </row>
    <row r="9" ht="22" customHeight="1" spans="1:12">
      <c r="A9" s="5" t="s">
        <v>19</v>
      </c>
      <c r="B9" s="6">
        <v>1620000</v>
      </c>
      <c r="C9" s="6">
        <v>230000</v>
      </c>
      <c r="D9" s="6">
        <f t="shared" si="0"/>
        <v>1850000</v>
      </c>
      <c r="E9" s="6">
        <v>530000</v>
      </c>
      <c r="F9" s="6">
        <v>220000</v>
      </c>
      <c r="G9" s="6">
        <v>260000</v>
      </c>
      <c r="H9" s="6">
        <v>98000</v>
      </c>
      <c r="I9" s="6">
        <f t="shared" si="1"/>
        <v>1108000</v>
      </c>
      <c r="J9" s="6">
        <f t="shared" si="2"/>
        <v>742000</v>
      </c>
      <c r="K9" s="6">
        <f t="shared" si="3"/>
        <v>556500</v>
      </c>
      <c r="L9" s="7">
        <f t="shared" si="4"/>
        <v>0.300810810810811</v>
      </c>
    </row>
    <row r="10" ht="22" customHeight="1" spans="1:12">
      <c r="A10" s="2" t="s">
        <v>20</v>
      </c>
      <c r="B10" s="3">
        <v>1750000</v>
      </c>
      <c r="C10" s="3">
        <v>250000</v>
      </c>
      <c r="D10" s="3">
        <f t="shared" si="0"/>
        <v>2000000</v>
      </c>
      <c r="E10" s="3">
        <v>550000</v>
      </c>
      <c r="F10" s="3">
        <v>230000</v>
      </c>
      <c r="G10" s="3">
        <v>270000</v>
      </c>
      <c r="H10" s="3">
        <v>100000</v>
      </c>
      <c r="I10" s="3">
        <f t="shared" si="1"/>
        <v>1150000</v>
      </c>
      <c r="J10" s="3">
        <f t="shared" si="2"/>
        <v>850000</v>
      </c>
      <c r="K10" s="3">
        <f t="shared" si="3"/>
        <v>637500</v>
      </c>
      <c r="L10" s="4">
        <f t="shared" si="4"/>
        <v>0.31875</v>
      </c>
    </row>
    <row r="11" ht="22" customHeight="1" spans="1:12">
      <c r="A11" s="5" t="s">
        <v>21</v>
      </c>
      <c r="B11" s="6">
        <v>1680000</v>
      </c>
      <c r="C11" s="6">
        <v>240000</v>
      </c>
      <c r="D11" s="6">
        <f t="shared" si="0"/>
        <v>1920000</v>
      </c>
      <c r="E11" s="6">
        <v>540000</v>
      </c>
      <c r="F11" s="6">
        <v>225000</v>
      </c>
      <c r="G11" s="6">
        <v>265000</v>
      </c>
      <c r="H11" s="6">
        <v>97000</v>
      </c>
      <c r="I11" s="6">
        <f t="shared" si="1"/>
        <v>1127000</v>
      </c>
      <c r="J11" s="6">
        <f t="shared" si="2"/>
        <v>793000</v>
      </c>
      <c r="K11" s="6">
        <f t="shared" si="3"/>
        <v>594750</v>
      </c>
      <c r="L11" s="7">
        <f t="shared" si="4"/>
        <v>0.309765625</v>
      </c>
    </row>
    <row r="12" ht="22" customHeight="1" spans="1:12">
      <c r="A12" s="2" t="s">
        <v>22</v>
      </c>
      <c r="B12" s="3">
        <v>1850000</v>
      </c>
      <c r="C12" s="3">
        <v>270000</v>
      </c>
      <c r="D12" s="3">
        <f t="shared" si="0"/>
        <v>2120000</v>
      </c>
      <c r="E12" s="3">
        <v>570000</v>
      </c>
      <c r="F12" s="3">
        <v>240000</v>
      </c>
      <c r="G12" s="3">
        <v>280000</v>
      </c>
      <c r="H12" s="3">
        <v>105000</v>
      </c>
      <c r="I12" s="3">
        <f t="shared" si="1"/>
        <v>1195000</v>
      </c>
      <c r="J12" s="3">
        <f t="shared" si="2"/>
        <v>925000</v>
      </c>
      <c r="K12" s="3">
        <f t="shared" si="3"/>
        <v>693750</v>
      </c>
      <c r="L12" s="4">
        <f t="shared" si="4"/>
        <v>0.327240566037736</v>
      </c>
    </row>
    <row r="13" ht="22" customHeight="1" spans="1:12">
      <c r="A13" s="5" t="s">
        <v>23</v>
      </c>
      <c r="B13" s="6">
        <v>2000000</v>
      </c>
      <c r="C13" s="6">
        <v>300000</v>
      </c>
      <c r="D13" s="6">
        <f t="shared" si="0"/>
        <v>2300000</v>
      </c>
      <c r="E13" s="6">
        <v>600000</v>
      </c>
      <c r="F13" s="6">
        <v>250000</v>
      </c>
      <c r="G13" s="6">
        <v>300000</v>
      </c>
      <c r="H13" s="6">
        <v>110000</v>
      </c>
      <c r="I13" s="6">
        <f t="shared" si="1"/>
        <v>1260000</v>
      </c>
      <c r="J13" s="6">
        <f t="shared" si="2"/>
        <v>1040000</v>
      </c>
      <c r="K13" s="6">
        <f t="shared" si="3"/>
        <v>780000</v>
      </c>
      <c r="L13" s="7">
        <f t="shared" si="4"/>
        <v>0.339130434782609</v>
      </c>
    </row>
    <row r="14" ht="24" customHeight="1" spans="1:12">
      <c r="A14" s="8" t="s">
        <v>24</v>
      </c>
      <c r="B14" s="9">
        <f t="shared" ref="B14:K14" si="5">SUM(B2:B13)</f>
        <v>18280000</v>
      </c>
      <c r="C14" s="9">
        <f t="shared" si="5"/>
        <v>2530000</v>
      </c>
      <c r="D14" s="9">
        <f t="shared" si="5"/>
        <v>20810000</v>
      </c>
      <c r="E14" s="9">
        <f t="shared" si="5"/>
        <v>6130000</v>
      </c>
      <c r="F14" s="9">
        <f t="shared" si="5"/>
        <v>2505000</v>
      </c>
      <c r="G14" s="9">
        <f t="shared" si="5"/>
        <v>2995000</v>
      </c>
      <c r="H14" s="9">
        <f t="shared" si="5"/>
        <v>1109000</v>
      </c>
      <c r="I14" s="9">
        <f t="shared" si="5"/>
        <v>12739000</v>
      </c>
      <c r="J14" s="9">
        <f t="shared" si="5"/>
        <v>8071000</v>
      </c>
      <c r="K14" s="9">
        <f t="shared" si="5"/>
        <v>6053250</v>
      </c>
      <c r="L14" s="10">
        <f t="shared" si="4"/>
        <v>0.290881787602114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2025年度财务数据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2026-05-11T06:33:05Z</dcterms:created>
  <dcterms:modified xsi:type="dcterms:W3CDTF">2026-05-11T06:33:15Z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97E29BBCAE254DB398EF60921FD5ECF0_12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